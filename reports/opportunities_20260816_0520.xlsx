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8">
    <font>
      <name val="Calibri"/>
      <family val="2"/>
      <color theme="1"/>
      <sz val="11"/>
      <scheme val="minor"/>
    </font>
    <font>
      <name val="Arial"/>
      <b val="1"/>
      <sz val="14"/>
    </font>
    <font>
      <name val="Arial"/>
      <b val="1"/>
    </font>
    <font>
      <name val="Arial"/>
    </font>
    <font>
      <name val="Arial"/>
      <color rgb="000000FF"/>
    </font>
    <font>
      <name val="Arial"/>
      <i val="1"/>
      <sz val="9"/>
    </font>
    <font>
      <name val="Arial"/>
      <b val="1"/>
      <color rgb="00FFFFFF"/>
      <sz val="11"/>
    </font>
    <font>
      <name val="Arial"/>
      <color rgb="000563C1"/>
      <u val="single"/>
    </font>
  </fonts>
  <fills count="4">
    <fill>
      <patternFill/>
    </fill>
    <fill>
      <patternFill patternType="gray125"/>
    </fill>
    <fill>
      <patternFill patternType="solid">
        <fgColor rgb="00FFFF00"/>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2" borderId="0" pivotButton="0" quotePrefix="0" xfId="0"/>
    <xf numFmtId="4" fontId="4" fillId="2" borderId="0" pivotButton="0" quotePrefix="0" xfId="0"/>
    <xf numFmtId="0" fontId="5" fillId="0" borderId="0" pivotButton="0" quotePrefix="0" xfId="0"/>
    <xf numFmtId="0" fontId="6" fillId="3" borderId="0" applyAlignment="1" pivotButton="0" quotePrefix="0" xfId="0">
      <alignment vertical="center" wrapText="1"/>
    </xf>
    <xf numFmtId="0" fontId="3" fillId="0" borderId="1" pivotButton="0" quotePrefix="0" xfId="0"/>
    <xf numFmtId="0" fontId="7" fillId="0" borderId="1" pivotButton="0" quotePrefix="0" xfId="0"/>
    <xf numFmtId="165" fontId="3" fillId="0" borderId="1" pivotButton="0" quotePrefix="0" xfId="0"/>
    <xf numFmtId="164"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rners.co.nz/General-Goods/Search/computer/monitors/25308957" TargetMode="External" Id="rId1"/><Relationship Type="http://schemas.openxmlformats.org/officeDocument/2006/relationships/hyperlink" Target="https://www.turners.co.nz/General-Goods/Search/computer/printers/24938004" TargetMode="External" Id="rId2"/><Relationship Type="http://schemas.openxmlformats.org/officeDocument/2006/relationships/hyperlink" Target="https://www.turners.co.nz/General-Goods/Search/computer/monitors/25308612" TargetMode="External" Id="rId3"/><Relationship Type="http://schemas.openxmlformats.org/officeDocument/2006/relationships/hyperlink" Target="https://www.turners.co.nz/General-Goods/Search/machinery/parts/28380778" TargetMode="External" Id="rId4"/><Relationship Type="http://schemas.openxmlformats.org/officeDocument/2006/relationships/hyperlink" Target="https://www.turners.co.nz/General-Goods/Search/sport--leisure/cycling/28393611" TargetMode="External" Id="rId5"/><Relationship Type="http://schemas.openxmlformats.org/officeDocument/2006/relationships/hyperlink" Target="https://www.turners.co.nz/General-Goods/Search/sport--leisure/cycling/28393546" TargetMode="External" Id="rId6"/><Relationship Type="http://schemas.openxmlformats.org/officeDocument/2006/relationships/hyperlink" Target="https://www.turners.co.nz/General-Goods/Search/house--garden/carpets-rugs--curtains/27583400" TargetMode="External" Id="rId7"/><Relationship Type="http://schemas.openxmlformats.org/officeDocument/2006/relationships/hyperlink" Target="https://www.turners.co.nz/General-Goods/Search/house--garden/carpets-rugs--curtains/27583428" TargetMode="External" Id="rId8"/><Relationship Type="http://schemas.openxmlformats.org/officeDocument/2006/relationships/hyperlink" Target="https://www.turners.co.nz/General-Goods/Search/house--garden/heating--cooling/27582356" TargetMode="External" Id="rId9"/><Relationship Type="http://schemas.openxmlformats.org/officeDocument/2006/relationships/hyperlink" Target="https://www.turners.co.nz/General-Goods/Search/health--beauty/fragrances/27092645" TargetMode="External" Id="rId10"/><Relationship Type="http://schemas.openxmlformats.org/officeDocument/2006/relationships/hyperlink" Target="https://www.turners.co.nz/General-Goods/Search/health--beauty/fragrances/27092697" TargetMode="External" Id="rId11"/><Relationship Type="http://schemas.openxmlformats.org/officeDocument/2006/relationships/hyperlink" Target="https://www.turners.co.nz/General-Goods/Search/health--beauty/fragrances/27092700" TargetMode="External" Id="rId12"/><Relationship Type="http://schemas.openxmlformats.org/officeDocument/2006/relationships/hyperlink" Target="https://www.thorntons.net.nz/auctions/detail/bw133177" TargetMode="External" Id="rId13"/><Relationship Type="http://schemas.openxmlformats.org/officeDocument/2006/relationships/hyperlink" Target="https://www.turners.co.nz/General-Goods/Search/crafts/other/24937937" TargetMode="External" Id="rId14"/><Relationship Type="http://schemas.openxmlformats.org/officeDocument/2006/relationships/hyperlink" Target="https://www.turners.co.nz/General-Goods/Search/automotive-goods/other/25310013" TargetMode="External" Id="rId15"/><Relationship Type="http://schemas.openxmlformats.org/officeDocument/2006/relationships/hyperlink" Target="https://www.turners.co.nz/General-Goods/Search/automotive-goods/other/25310050" TargetMode="External" Id="rId16"/><Relationship Type="http://schemas.openxmlformats.org/officeDocument/2006/relationships/hyperlink" Target="https://www.turners.co.nz/General-Goods/Search/automotive-goods/other/25310021" TargetMode="External" Id="rId17"/><Relationship Type="http://schemas.openxmlformats.org/officeDocument/2006/relationships/hyperlink" Target="https://www.turners.co.nz/Cars/Used-Cars-for-Sale/subaru/forester/28299789" TargetMode="External" Id="rId18"/><Relationship Type="http://schemas.openxmlformats.org/officeDocument/2006/relationships/hyperlink" Target="https://www.turners.co.nz/Cars/Used-Cars-for-Sale/subaru/outback/27978474" TargetMode="External" Id="rId19"/><Relationship Type="http://schemas.openxmlformats.org/officeDocument/2006/relationships/hyperlink" Target="https://www.turners.co.nz/Trucks-Machinery/Used-Trucks-and-Machinery-for-Sale/western-star/5884ss/25214136" TargetMode="External" Id="rId20"/><Relationship Type="http://schemas.openxmlformats.org/officeDocument/2006/relationships/hyperlink" Target="https://www.turners.co.nz/motorcycles-scooters/Used-Motorbikes-for-Sale/niu/n1-sport/28289189" TargetMode="External" Id="rId21"/><Relationship Type="http://schemas.openxmlformats.org/officeDocument/2006/relationships/hyperlink" Target="https://www.turners.co.nz/motorcycles-scooters/Used-Motorbikes-for-Sale/niu/n1-sport/28290580" TargetMode="External" Id="rId22"/><Relationship Type="http://schemas.openxmlformats.org/officeDocument/2006/relationships/hyperlink" Target="https://www.turners.co.nz/motorcycles-scooters/Used-Motorbikes-for-Sale/niu/n1-sport/28289170" TargetMode="External" Id="rId23"/><Relationship Type="http://schemas.openxmlformats.org/officeDocument/2006/relationships/hyperlink" Target="https://www.turners.co.nz/buses-caravans/Used-Caravans-and-Motorhomes-for-Sale/mercedes-benz/sprinter/27061449" TargetMode="External" Id="rId24"/><Relationship Type="http://schemas.openxmlformats.org/officeDocument/2006/relationships/hyperlink" Target="https://www.turners.co.nz/buses-caravans/Used-Caravans-and-Motorhomes-for-Sale/mercedes-benz/hymer-s830/28073971" TargetMode="External" Id="rId25"/></Relationships>
</file>

<file path=xl/worksheets/sheet1.xml><?xml version="1.0" encoding="utf-8"?>
<worksheet xmlns="http://schemas.openxmlformats.org/spreadsheetml/2006/main">
  <sheetPr>
    <outlinePr summaryBelow="1" summaryRight="1"/>
    <pageSetUpPr/>
  </sheetPr>
  <dimension ref="A1:O34"/>
  <sheetViews>
    <sheetView showGridLines="0" workbookViewId="0">
      <pane ySplit="9" topLeftCell="A10" activePane="bottomLeft" state="frozen"/>
      <selection pane="bottomLeft" activeCell="A1" sqref="A1"/>
    </sheetView>
  </sheetViews>
  <sheetFormatPr baseColWidth="8" defaultRowHeight="15"/>
  <cols>
    <col width="18" customWidth="1" min="1" max="1"/>
    <col width="12" customWidth="1" min="2" max="2"/>
    <col width="40" customWidth="1" min="3" max="3"/>
    <col width="12" customWidth="1" min="4" max="4"/>
    <col width="13" customWidth="1" min="5" max="5"/>
    <col width="12" customWidth="1" min="6" max="6"/>
    <col width="9" customWidth="1" min="7" max="7"/>
    <col width="14" customWidth="1" min="8" max="8"/>
    <col width="13" customWidth="1" min="9" max="9"/>
    <col width="14" customWidth="1" min="10" max="10"/>
    <col width="13" customWidth="1" min="11" max="11"/>
    <col width="14" customWidth="1" min="12" max="12"/>
    <col width="12" customWidth="1" min="13" max="13"/>
    <col width="10" customWidth="1" min="14" max="14"/>
    <col width="45" customWidth="1" min="15" max="15"/>
  </cols>
  <sheetData>
    <row r="1">
      <c r="A1" s="1" t="inlineStr">
        <is>
          <t>NZ Auction Scanner — Opportunities &amp; Profit Estimates</t>
        </is>
      </c>
    </row>
    <row r="3">
      <c r="A3" s="2" t="inlineStr">
        <is>
          <t>Assumptions (edit these — every row recalculates automatically)</t>
        </is>
      </c>
    </row>
    <row r="4">
      <c r="A4" s="3" t="inlineStr">
        <is>
          <t>Buyer's premium (%)</t>
        </is>
      </c>
      <c r="B4" s="4" t="n">
        <v>0.15</v>
      </c>
    </row>
    <row r="5">
      <c r="A5" s="3" t="inlineStr">
        <is>
          <t>Marketplace/platform fee on resale (%)</t>
        </is>
      </c>
      <c r="B5" s="4" t="n">
        <v>0.1</v>
      </c>
    </row>
    <row r="6">
      <c r="A6" s="3" t="inlineStr">
        <is>
          <t>Listing/postage cost per item (NZD)</t>
        </is>
      </c>
      <c r="B6" s="5" t="n">
        <v>10</v>
      </c>
    </row>
    <row r="7">
      <c r="A7" s="6" t="inlineStr">
        <is>
          <t>Note: figures are Claude's estimates, not real quotes — verify before bidding.</t>
        </is>
      </c>
    </row>
    <row r="9">
      <c r="A9" s="7" t="inlineStr">
        <is>
          <t>Category</t>
        </is>
      </c>
      <c r="B9" s="7" t="inlineStr">
        <is>
          <t>Source</t>
        </is>
      </c>
      <c r="C9" s="7" t="inlineStr">
        <is>
          <t>Title</t>
        </is>
      </c>
      <c r="D9" s="7" t="inlineStr">
        <is>
          <t>Price (NZD)</t>
        </is>
      </c>
      <c r="E9" s="7" t="inlineStr">
        <is>
          <t>Buy Now (NZD)</t>
        </is>
      </c>
      <c r="F9" s="7" t="inlineStr">
        <is>
          <t>Condition</t>
        </is>
      </c>
      <c r="G9" s="7" t="inlineStr">
        <is>
          <t>Score /10</t>
        </is>
      </c>
      <c r="H9" s="7" t="inlineStr">
        <is>
          <t>Resale Likelihood</t>
        </is>
      </c>
      <c r="I9" s="7" t="inlineStr">
        <is>
          <t>Est. New Price</t>
        </is>
      </c>
      <c r="J9" s="7" t="inlineStr">
        <is>
          <t>Suggested Resale</t>
        </is>
      </c>
      <c r="K9" s="7" t="inlineStr">
        <is>
          <t>Landed Cost</t>
        </is>
      </c>
      <c r="L9" s="7" t="inlineStr">
        <is>
          <t>Net Resale Rev.</t>
        </is>
      </c>
      <c r="M9" s="7" t="inlineStr">
        <is>
          <t>Profit (NZD)</t>
        </is>
      </c>
      <c r="N9" s="7" t="inlineStr">
        <is>
          <t>Profit %</t>
        </is>
      </c>
      <c r="O9" s="7" t="inlineStr">
        <is>
          <t>Notes</t>
        </is>
      </c>
    </row>
    <row r="10">
      <c r="A10" s="8" t="inlineStr">
        <is>
          <t>Electronics &amp; Tech</t>
        </is>
      </c>
      <c r="B10" s="8" t="inlineStr">
        <is>
          <t>Turners</t>
        </is>
      </c>
      <c r="C10" s="9" t="inlineStr">
        <is>
          <t>27" Monitor Bundle &amp; Startech Docking Station</t>
        </is>
      </c>
      <c r="D10" s="10" t="n">
        <v>29</v>
      </c>
      <c r="E10" s="10" t="n"/>
      <c r="F10" s="8" t="inlineStr">
        <is>
          <t>Average</t>
        </is>
      </c>
      <c r="G10" s="8" t="n">
        <v>10</v>
      </c>
      <c r="H10" s="8" t="inlineStr">
        <is>
          <t>high</t>
        </is>
      </c>
      <c r="I10" s="10" t="n">
        <v>800</v>
      </c>
      <c r="J10" s="10" t="n">
        <v>220</v>
      </c>
      <c r="K10" s="10">
        <f>IF(D10&lt;&gt;"",D10*(1+$B$4),IF(E10&lt;&gt;"",E10,""))</f>
        <v/>
      </c>
      <c r="L10" s="10">
        <f>IF(J10&lt;&gt;"",J10*(1-$B$5)-$B$6,"")</f>
        <v/>
      </c>
      <c r="M10" s="10">
        <f>IF(AND(K10&lt;&gt;"",L10&lt;&gt;""),L10-K10,"")</f>
        <v/>
      </c>
      <c r="N10" s="11">
        <f>IFERROR(M10/K10,"")</f>
        <v/>
      </c>
      <c r="O10" s="8" t="inlineStr">
        <is>
          <t>Reserve: Reserve Met; Closes 23 Aug 26</t>
        </is>
      </c>
    </row>
    <row r="11">
      <c r="A11" s="8" t="inlineStr">
        <is>
          <t>Electronics &amp; Tech</t>
        </is>
      </c>
      <c r="B11" s="8" t="inlineStr">
        <is>
          <t>Turners</t>
        </is>
      </c>
      <c r="C11" s="9" t="inlineStr">
        <is>
          <t>HP 871B Latex Cartridges</t>
        </is>
      </c>
      <c r="D11" s="10" t="n">
        <v>2</v>
      </c>
      <c r="E11" s="10" t="n"/>
      <c r="F11" s="8" t="inlineStr">
        <is>
          <t>As New</t>
        </is>
      </c>
      <c r="G11" s="8" t="n">
        <v>9</v>
      </c>
      <c r="H11" s="8" t="inlineStr">
        <is>
          <t>high</t>
        </is>
      </c>
      <c r="I11" s="10" t="n">
        <v>180</v>
      </c>
      <c r="J11" s="10" t="n">
        <v>120</v>
      </c>
      <c r="K11" s="10">
        <f>IF(D11&lt;&gt;"",D11*(1+$B$4),IF(E11&lt;&gt;"",E11,""))</f>
        <v/>
      </c>
      <c r="L11" s="10">
        <f>IF(J11&lt;&gt;"",J11*(1-$B$5)-$B$6,"")</f>
        <v/>
      </c>
      <c r="M11" s="10">
        <f>IF(AND(K11&lt;&gt;"",L11&lt;&gt;""),L11-K11,"")</f>
        <v/>
      </c>
      <c r="N11" s="11">
        <f>IFERROR(M11/K11,"")</f>
        <v/>
      </c>
      <c r="O11" s="8" t="inlineStr">
        <is>
          <t>Reserve: Reserve Met; Closes unknown</t>
        </is>
      </c>
    </row>
    <row r="12">
      <c r="A12" s="8" t="inlineStr">
        <is>
          <t>Electronics &amp; Tech</t>
        </is>
      </c>
      <c r="B12" s="8" t="inlineStr">
        <is>
          <t>Turners</t>
        </is>
      </c>
      <c r="C12" s="9" t="inlineStr">
        <is>
          <t>AOC 27" Monitor Bundle</t>
        </is>
      </c>
      <c r="D12" s="10" t="n">
        <v>6</v>
      </c>
      <c r="E12" s="10" t="n"/>
      <c r="F12" s="8" t="inlineStr">
        <is>
          <t>Average</t>
        </is>
      </c>
      <c r="G12" s="8" t="n">
        <v>9</v>
      </c>
      <c r="H12" s="8" t="inlineStr">
        <is>
          <t>high</t>
        </is>
      </c>
      <c r="I12" s="10" t="n">
        <v>250</v>
      </c>
      <c r="J12" s="10" t="n">
        <v>85</v>
      </c>
      <c r="K12" s="10">
        <f>IF(D12&lt;&gt;"",D12*(1+$B$4),IF(E12&lt;&gt;"",E12,""))</f>
        <v/>
      </c>
      <c r="L12" s="10">
        <f>IF(J12&lt;&gt;"",J12*(1-$B$5)-$B$6,"")</f>
        <v/>
      </c>
      <c r="M12" s="10">
        <f>IF(AND(K12&lt;&gt;"",L12&lt;&gt;""),L12-K12,"")</f>
        <v/>
      </c>
      <c r="N12" s="11">
        <f>IFERROR(M12/K12,"")</f>
        <v/>
      </c>
      <c r="O12" s="8" t="inlineStr">
        <is>
          <t>Reserve: Reserve Met; Closes 23 Aug 26</t>
        </is>
      </c>
    </row>
    <row r="13">
      <c r="A13" s="8" t="inlineStr">
        <is>
          <t>Machinery &amp; Tools</t>
        </is>
      </c>
      <c r="B13" s="8" t="inlineStr">
        <is>
          <t>Turners</t>
        </is>
      </c>
      <c r="C13" s="9" t="inlineStr">
        <is>
          <t>2008 Isuzu FVZ roof kit</t>
        </is>
      </c>
      <c r="D13" s="10" t="n">
        <v>288</v>
      </c>
      <c r="E13" s="10" t="n"/>
      <c r="F13" s="8" t="inlineStr">
        <is>
          <t>Tidy</t>
        </is>
      </c>
      <c r="G13" s="8" t="n">
        <v>6</v>
      </c>
      <c r="H13" s="8" t="inlineStr">
        <is>
          <t>low</t>
        </is>
      </c>
      <c r="I13" s="10" t="n">
        <v>450</v>
      </c>
      <c r="J13" s="10" t="n">
        <v>220</v>
      </c>
      <c r="K13" s="10">
        <f>IF(D13&lt;&gt;"",D13*(1+$B$4),IF(E13&lt;&gt;"",E13,""))</f>
        <v/>
      </c>
      <c r="L13" s="10">
        <f>IF(J13&lt;&gt;"",J13*(1-$B$5)-$B$6,"")</f>
        <v/>
      </c>
      <c r="M13" s="10">
        <f>IF(AND(K13&lt;&gt;"",L13&lt;&gt;""),L13-K13,"")</f>
        <v/>
      </c>
      <c r="N13" s="11">
        <f>IFERROR(M13/K13,"")</f>
        <v/>
      </c>
      <c r="O13" s="8" t="inlineStr">
        <is>
          <t>No comparable item found this run -- standalone assessment only; Reserve: No Reserve; Closes unknown</t>
        </is>
      </c>
    </row>
    <row r="14">
      <c r="A14" s="8" t="inlineStr">
        <is>
          <t>Sport &amp; Leisure</t>
        </is>
      </c>
      <c r="B14" s="8" t="inlineStr">
        <is>
          <t>Turners</t>
        </is>
      </c>
      <c r="C14" s="9" t="inlineStr">
        <is>
          <t>Tern GSD S10 GEN1 E-Cargo Bike</t>
        </is>
      </c>
      <c r="D14" s="10" t="n"/>
      <c r="E14" s="10" t="n"/>
      <c r="F14" s="8" t="inlineStr">
        <is>
          <t>Average</t>
        </is>
      </c>
      <c r="G14" s="8" t="n">
        <v>4</v>
      </c>
      <c r="H14" s="8" t="inlineStr">
        <is>
          <t>medium</t>
        </is>
      </c>
      <c r="I14" s="10" t="n">
        <v>4500</v>
      </c>
      <c r="J14" s="10" t="n">
        <v>1800</v>
      </c>
      <c r="K14" s="10">
        <f>IF(D14&lt;&gt;"",D14*(1+$B$4),IF(E14&lt;&gt;"",E14,""))</f>
        <v/>
      </c>
      <c r="L14" s="10">
        <f>IF(J14&lt;&gt;"",J14*(1-$B$5)-$B$6,"")</f>
        <v/>
      </c>
      <c r="M14" s="10">
        <f>IF(AND(K14&lt;&gt;"",L14&lt;&gt;""),L14-K14,"")</f>
        <v/>
      </c>
      <c r="N14" s="11">
        <f>IFERROR(M14/K14,"")</f>
        <v/>
      </c>
      <c r="O14" s="8" t="inlineStr"/>
    </row>
    <row r="15">
      <c r="A15" s="8" t="inlineStr">
        <is>
          <t>Sport &amp; Leisure</t>
        </is>
      </c>
      <c r="B15" s="8" t="inlineStr">
        <is>
          <t>Turners</t>
        </is>
      </c>
      <c r="C15" s="9" t="inlineStr">
        <is>
          <t>Tern GSD S10 GEN1 E-Cargo Bike</t>
        </is>
      </c>
      <c r="D15" s="10" t="n"/>
      <c r="E15" s="10" t="n"/>
      <c r="F15" s="8" t="inlineStr">
        <is>
          <t>Average</t>
        </is>
      </c>
      <c r="G15" s="8" t="n">
        <v>4</v>
      </c>
      <c r="H15" s="8" t="inlineStr">
        <is>
          <t>medium</t>
        </is>
      </c>
      <c r="I15" s="10" t="n">
        <v>4500</v>
      </c>
      <c r="J15" s="10" t="n">
        <v>1600</v>
      </c>
      <c r="K15" s="10">
        <f>IF(D15&lt;&gt;"",D15*(1+$B$4),IF(E15&lt;&gt;"",E15,""))</f>
        <v/>
      </c>
      <c r="L15" s="10">
        <f>IF(J15&lt;&gt;"",J15*(1-$B$5)-$B$6,"")</f>
        <v/>
      </c>
      <c r="M15" s="10">
        <f>IF(AND(K15&lt;&gt;"",L15&lt;&gt;""),L15-K15,"")</f>
        <v/>
      </c>
      <c r="N15" s="11">
        <f>IFERROR(M15/K15,"")</f>
        <v/>
      </c>
      <c r="O15" s="8" t="inlineStr"/>
    </row>
    <row r="16">
      <c r="A16" s="8" t="inlineStr">
        <is>
          <t>House &amp; Garden</t>
        </is>
      </c>
      <c r="B16" s="8" t="inlineStr">
        <is>
          <t>Turners</t>
        </is>
      </c>
      <c r="C16" s="9" t="inlineStr">
        <is>
          <t>3x Windoware Admire Extendable Curtain Tracks</t>
        </is>
      </c>
      <c r="D16" s="10" t="n">
        <v>23</v>
      </c>
      <c r="E16" s="10" t="n"/>
      <c r="F16" s="8" t="inlineStr">
        <is>
          <t>Excellent</t>
        </is>
      </c>
      <c r="G16" s="8" t="n">
        <v>9</v>
      </c>
      <c r="H16" s="8" t="inlineStr">
        <is>
          <t>high</t>
        </is>
      </c>
      <c r="I16" s="10" t="n">
        <v>120</v>
      </c>
      <c r="J16" s="10" t="n">
        <v>80</v>
      </c>
      <c r="K16" s="10">
        <f>IF(D16&lt;&gt;"",D16*(1+$B$4),IF(E16&lt;&gt;"",E16,""))</f>
        <v/>
      </c>
      <c r="L16" s="10">
        <f>IF(J16&lt;&gt;"",J16*(1-$B$5)-$B$6,"")</f>
        <v/>
      </c>
      <c r="M16" s="10">
        <f>IF(AND(K16&lt;&gt;"",L16&lt;&gt;""),L16-K16,"")</f>
        <v/>
      </c>
      <c r="N16" s="11">
        <f>IFERROR(M16/K16,"")</f>
        <v/>
      </c>
      <c r="O16" s="8" t="inlineStr">
        <is>
          <t>Reserve: Reserve Met; Closes unknown</t>
        </is>
      </c>
    </row>
    <row r="17">
      <c r="A17" s="8" t="inlineStr">
        <is>
          <t>House &amp; Garden</t>
        </is>
      </c>
      <c r="B17" s="8" t="inlineStr">
        <is>
          <t>Turners</t>
        </is>
      </c>
      <c r="C17" s="9" t="inlineStr">
        <is>
          <t>3x Windoware Admire Extendable Curtain Tracks</t>
        </is>
      </c>
      <c r="D17" s="10" t="n">
        <v>23</v>
      </c>
      <c r="E17" s="10" t="n"/>
      <c r="F17" s="8" t="inlineStr">
        <is>
          <t>Excellent</t>
        </is>
      </c>
      <c r="G17" s="8" t="n">
        <v>7</v>
      </c>
      <c r="H17" s="8" t="inlineStr">
        <is>
          <t>high</t>
        </is>
      </c>
      <c r="I17" s="10" t="n">
        <v>80</v>
      </c>
      <c r="J17" s="10" t="n">
        <v>55</v>
      </c>
      <c r="K17" s="10">
        <f>IF(D17&lt;&gt;"",D17*(1+$B$4),IF(E17&lt;&gt;"",E17,""))</f>
        <v/>
      </c>
      <c r="L17" s="10">
        <f>IF(J17&lt;&gt;"",J17*(1-$B$5)-$B$6,"")</f>
        <v/>
      </c>
      <c r="M17" s="10">
        <f>IF(AND(K17&lt;&gt;"",L17&lt;&gt;""),L17-K17,"")</f>
        <v/>
      </c>
      <c r="N17" s="11">
        <f>IFERROR(M17/K17,"")</f>
        <v/>
      </c>
      <c r="O17" s="8" t="inlineStr">
        <is>
          <t>Reserve: No Reserve; Closes unknown</t>
        </is>
      </c>
    </row>
    <row r="18">
      <c r="A18" s="8" t="inlineStr">
        <is>
          <t>House &amp; Garden</t>
        </is>
      </c>
      <c r="B18" s="8" t="inlineStr">
        <is>
          <t>Turners</t>
        </is>
      </c>
      <c r="C18" s="9" t="inlineStr">
        <is>
          <t>Goldair wall heater</t>
        </is>
      </c>
      <c r="D18" s="10" t="n">
        <v>35</v>
      </c>
      <c r="E18" s="10" t="n"/>
      <c r="F18" s="8" t="inlineStr">
        <is>
          <t>Very Tidy</t>
        </is>
      </c>
      <c r="G18" s="8" t="n">
        <v>7</v>
      </c>
      <c r="H18" s="8" t="inlineStr">
        <is>
          <t>high</t>
        </is>
      </c>
      <c r="I18" s="10" t="n">
        <v>150</v>
      </c>
      <c r="J18" s="10" t="n">
        <v>85</v>
      </c>
      <c r="K18" s="10">
        <f>IF(D18&lt;&gt;"",D18*(1+$B$4),IF(E18&lt;&gt;"",E18,""))</f>
        <v/>
      </c>
      <c r="L18" s="10">
        <f>IF(J18&lt;&gt;"",J18*(1-$B$5)-$B$6,"")</f>
        <v/>
      </c>
      <c r="M18" s="10">
        <f>IF(AND(K18&lt;&gt;"",L18&lt;&gt;""),L18-K18,"")</f>
        <v/>
      </c>
      <c r="N18" s="11">
        <f>IFERROR(M18/K18,"")</f>
        <v/>
      </c>
      <c r="O18" s="8" t="inlineStr">
        <is>
          <t>Reserve: No Reserve; Closes unknown</t>
        </is>
      </c>
    </row>
    <row r="19">
      <c r="A19" s="8" t="inlineStr">
        <is>
          <t>Health &amp; Beauty</t>
        </is>
      </c>
      <c r="B19" s="8" t="inlineStr">
        <is>
          <t>Turners</t>
        </is>
      </c>
      <c r="C19" s="9" t="inlineStr">
        <is>
          <t>Bradfield Fragrance Sachets w/ Retail Countertop Display - Frangipani</t>
        </is>
      </c>
      <c r="D19" s="10" t="n"/>
      <c r="E19" s="10" t="n"/>
      <c r="F19" s="8" t="inlineStr">
        <is>
          <t>New</t>
        </is>
      </c>
      <c r="G19" s="8" t="n">
        <v>3</v>
      </c>
      <c r="H19" s="8" t="inlineStr">
        <is>
          <t>low</t>
        </is>
      </c>
      <c r="I19" s="10" t="n">
        <v>45</v>
      </c>
      <c r="J19" s="10" t="n"/>
      <c r="K19" s="10">
        <f>IF(D19&lt;&gt;"",D19*(1+$B$4),IF(E19&lt;&gt;"",E19,""))</f>
        <v/>
      </c>
      <c r="L19" s="10">
        <f>IF(J19&lt;&gt;"",J19*(1-$B$5)-$B$6,"")</f>
        <v/>
      </c>
      <c r="M19" s="10">
        <f>IF(AND(K19&lt;&gt;"",L19&lt;&gt;""),L19-K19,"")</f>
        <v/>
      </c>
      <c r="N19" s="11">
        <f>IFERROR(M19/K19,"")</f>
        <v/>
      </c>
      <c r="O19" s="8" t="inlineStr"/>
    </row>
    <row r="20">
      <c r="A20" s="8" t="inlineStr">
        <is>
          <t>Health &amp; Beauty</t>
        </is>
      </c>
      <c r="B20" s="8" t="inlineStr">
        <is>
          <t>Turners</t>
        </is>
      </c>
      <c r="C20" s="9" t="inlineStr">
        <is>
          <t>Bradfield Fragrance Sachets w/ Retail Countertop Display - Floral</t>
        </is>
      </c>
      <c r="D20" s="10" t="n"/>
      <c r="E20" s="10" t="n"/>
      <c r="F20" s="8" t="inlineStr">
        <is>
          <t>New</t>
        </is>
      </c>
      <c r="G20" s="8" t="n">
        <v>3</v>
      </c>
      <c r="H20" s="8" t="inlineStr">
        <is>
          <t>low</t>
        </is>
      </c>
      <c r="I20" s="10" t="n">
        <v>45</v>
      </c>
      <c r="J20" s="10" t="n"/>
      <c r="K20" s="10">
        <f>IF(D20&lt;&gt;"",D20*(1+$B$4),IF(E20&lt;&gt;"",E20,""))</f>
        <v/>
      </c>
      <c r="L20" s="10">
        <f>IF(J20&lt;&gt;"",J20*(1-$B$5)-$B$6,"")</f>
        <v/>
      </c>
      <c r="M20" s="10">
        <f>IF(AND(K20&lt;&gt;"",L20&lt;&gt;""),L20-K20,"")</f>
        <v/>
      </c>
      <c r="N20" s="11">
        <f>IFERROR(M20/K20,"")</f>
        <v/>
      </c>
      <c r="O20" s="8" t="inlineStr"/>
    </row>
    <row r="21">
      <c r="A21" s="8" t="inlineStr">
        <is>
          <t>Health &amp; Beauty</t>
        </is>
      </c>
      <c r="B21" s="8" t="inlineStr">
        <is>
          <t>Turners</t>
        </is>
      </c>
      <c r="C21" s="9" t="inlineStr">
        <is>
          <t>Bradfield Fragrance Sachets w/ Retail Countertop Display - Floral</t>
        </is>
      </c>
      <c r="D21" s="10" t="n"/>
      <c r="E21" s="10" t="n"/>
      <c r="F21" s="8" t="inlineStr">
        <is>
          <t>New</t>
        </is>
      </c>
      <c r="G21" s="8" t="n">
        <v>3</v>
      </c>
      <c r="H21" s="8" t="inlineStr">
        <is>
          <t>low</t>
        </is>
      </c>
      <c r="I21" s="10" t="n">
        <v>45</v>
      </c>
      <c r="J21" s="10" t="n"/>
      <c r="K21" s="10">
        <f>IF(D21&lt;&gt;"",D21*(1+$B$4),IF(E21&lt;&gt;"",E21,""))</f>
        <v/>
      </c>
      <c r="L21" s="10">
        <f>IF(J21&lt;&gt;"",J21*(1-$B$5)-$B$6,"")</f>
        <v/>
      </c>
      <c r="M21" s="10">
        <f>IF(AND(K21&lt;&gt;"",L21&lt;&gt;""),L21-K21,"")</f>
        <v/>
      </c>
      <c r="N21" s="11">
        <f>IFERROR(M21/K21,"")</f>
        <v/>
      </c>
      <c r="O21" s="8" t="inlineStr"/>
    </row>
    <row r="22">
      <c r="A22" s="8" t="inlineStr">
        <is>
          <t>Antiques &amp; Collectables</t>
        </is>
      </c>
      <c r="B22" s="8" t="inlineStr">
        <is>
          <t>Thorntons</t>
        </is>
      </c>
      <c r="C22" s="9" t="inlineStr">
        <is>
          <t>Auction #2 - Collectables &amp; Interiors  26.8.26 FRI133177</t>
        </is>
      </c>
      <c r="D22" s="10" t="n"/>
      <c r="E22" s="10" t="n"/>
      <c r="F22" s="8" t="inlineStr"/>
      <c r="G22" s="8" t="n">
        <v>5</v>
      </c>
      <c r="H22" s="8" t="inlineStr">
        <is>
          <t>medium</t>
        </is>
      </c>
      <c r="I22" s="10" t="n"/>
      <c r="J22" s="10" t="n"/>
      <c r="K22" s="10">
        <f>IF(D22&lt;&gt;"",D22*(1+$B$4),IF(E22&lt;&gt;"",E22,""))</f>
        <v/>
      </c>
      <c r="L22" s="10">
        <f>IF(J22&lt;&gt;"",J22*(1-$B$5)-$B$6,"")</f>
        <v/>
      </c>
      <c r="M22" s="10">
        <f>IF(AND(K22&lt;&gt;"",L22&lt;&gt;""),L22-K22,"")</f>
        <v/>
      </c>
      <c r="N22" s="11">
        <f>IFERROR(M22/K22,"")</f>
        <v/>
      </c>
      <c r="O22" s="8" t="inlineStr">
        <is>
          <t>Caution: no description text; unclear lot count</t>
        </is>
      </c>
    </row>
    <row r="23">
      <c r="A23" s="8" t="inlineStr">
        <is>
          <t>Antiques &amp; Collectables</t>
        </is>
      </c>
      <c r="B23" s="8" t="inlineStr">
        <is>
          <t>Turners</t>
        </is>
      </c>
      <c r="C23" s="9" t="inlineStr">
        <is>
          <t>2 x drums with cardboard cores</t>
        </is>
      </c>
      <c r="D23" s="10" t="n">
        <v>1</v>
      </c>
      <c r="E23" s="10" t="n"/>
      <c r="F23" s="8" t="inlineStr">
        <is>
          <t>Average</t>
        </is>
      </c>
      <c r="G23" s="8" t="n">
        <v>2</v>
      </c>
      <c r="H23" s="8" t="inlineStr">
        <is>
          <t>low</t>
        </is>
      </c>
      <c r="I23" s="10" t="n"/>
      <c r="J23" s="10" t="n">
        <v>2</v>
      </c>
      <c r="K23" s="10">
        <f>IF(D23&lt;&gt;"",D23*(1+$B$4),IF(E23&lt;&gt;"",E23,""))</f>
        <v/>
      </c>
      <c r="L23" s="10">
        <f>IF(J23&lt;&gt;"",J23*(1-$B$5)-$B$6,"")</f>
        <v/>
      </c>
      <c r="M23" s="10">
        <f>IF(AND(K23&lt;&gt;"",L23&lt;&gt;""),L23-K23,"")</f>
        <v/>
      </c>
      <c r="N23" s="11">
        <f>IFERROR(M23/K23,"")</f>
        <v/>
      </c>
      <c r="O23" s="8" t="inlineStr">
        <is>
          <t>No comparable item found this run -- standalone assessment only; Reserve: No Reserve; Closes unknown</t>
        </is>
      </c>
    </row>
    <row r="24">
      <c r="A24" s="8" t="inlineStr">
        <is>
          <t>Automotive Parts</t>
        </is>
      </c>
      <c r="B24" s="8" t="inlineStr">
        <is>
          <t>Turners</t>
        </is>
      </c>
      <c r="C24" s="9" t="inlineStr">
        <is>
          <t>Vision Remote Immobiliser Vehicle Security System</t>
        </is>
      </c>
      <c r="D24" s="10" t="n">
        <v>1</v>
      </c>
      <c r="E24" s="10" t="n"/>
      <c r="F24" s="8" t="inlineStr">
        <is>
          <t>Very Tidy</t>
        </is>
      </c>
      <c r="G24" s="8" t="n">
        <v>10</v>
      </c>
      <c r="H24" s="8" t="inlineStr">
        <is>
          <t>high</t>
        </is>
      </c>
      <c r="I24" s="10" t="n">
        <v>250</v>
      </c>
      <c r="J24" s="10" t="n">
        <v>130</v>
      </c>
      <c r="K24" s="10">
        <f>IF(D24&lt;&gt;"",D24*(1+$B$4),IF(E24&lt;&gt;"",E24,""))</f>
        <v/>
      </c>
      <c r="L24" s="10">
        <f>IF(J24&lt;&gt;"",J24*(1-$B$5)-$B$6,"")</f>
        <v/>
      </c>
      <c r="M24" s="10">
        <f>IF(AND(K24&lt;&gt;"",L24&lt;&gt;""),L24-K24,"")</f>
        <v/>
      </c>
      <c r="N24" s="11">
        <f>IFERROR(M24/K24,"")</f>
        <v/>
      </c>
      <c r="O24" s="8" t="inlineStr">
        <is>
          <t>Reserve: Reserve Met; Closes 23 Aug 26</t>
        </is>
      </c>
    </row>
    <row r="25">
      <c r="A25" s="8" t="inlineStr">
        <is>
          <t>Automotive Parts</t>
        </is>
      </c>
      <c r="B25" s="8" t="inlineStr">
        <is>
          <t>Turners</t>
        </is>
      </c>
      <c r="C25" s="9" t="inlineStr">
        <is>
          <t>Vision Keyless Entry System</t>
        </is>
      </c>
      <c r="D25" s="10" t="n">
        <v>1</v>
      </c>
      <c r="E25" s="10" t="n"/>
      <c r="F25" s="8" t="inlineStr">
        <is>
          <t>Very Tidy</t>
        </is>
      </c>
      <c r="G25" s="8" t="n">
        <v>10</v>
      </c>
      <c r="H25" s="8" t="inlineStr">
        <is>
          <t>medium</t>
        </is>
      </c>
      <c r="I25" s="10" t="n">
        <v>120</v>
      </c>
      <c r="J25" s="10" t="n">
        <v>65</v>
      </c>
      <c r="K25" s="10">
        <f>IF(D25&lt;&gt;"",D25*(1+$B$4),IF(E25&lt;&gt;"",E25,""))</f>
        <v/>
      </c>
      <c r="L25" s="10">
        <f>IF(J25&lt;&gt;"",J25*(1-$B$5)-$B$6,"")</f>
        <v/>
      </c>
      <c r="M25" s="10">
        <f>IF(AND(K25&lt;&gt;"",L25&lt;&gt;""),L25-K25,"")</f>
        <v/>
      </c>
      <c r="N25" s="11">
        <f>IFERROR(M25/K25,"")</f>
        <v/>
      </c>
      <c r="O25" s="8" t="inlineStr">
        <is>
          <t>Reserve: Reserve Met; Closes 23 Aug 26</t>
        </is>
      </c>
    </row>
    <row r="26">
      <c r="A26" s="8" t="inlineStr">
        <is>
          <t>Automotive Parts</t>
        </is>
      </c>
      <c r="B26" s="8" t="inlineStr">
        <is>
          <t>Turners</t>
        </is>
      </c>
      <c r="C26" s="9" t="inlineStr">
        <is>
          <t>Vision Remote Immobiliser Vehicle Security System</t>
        </is>
      </c>
      <c r="D26" s="10" t="n">
        <v>1</v>
      </c>
      <c r="E26" s="10" t="n"/>
      <c r="F26" s="8" t="inlineStr">
        <is>
          <t>Very Tidy</t>
        </is>
      </c>
      <c r="G26" s="8" t="n">
        <v>9</v>
      </c>
      <c r="H26" s="8" t="inlineStr">
        <is>
          <t>high</t>
        </is>
      </c>
      <c r="I26" s="10" t="n">
        <v>250</v>
      </c>
      <c r="J26" s="10" t="n">
        <v>120</v>
      </c>
      <c r="K26" s="10">
        <f>IF(D26&lt;&gt;"",D26*(1+$B$4),IF(E26&lt;&gt;"",E26,""))</f>
        <v/>
      </c>
      <c r="L26" s="10">
        <f>IF(J26&lt;&gt;"",J26*(1-$B$5)-$B$6,"")</f>
        <v/>
      </c>
      <c r="M26" s="10">
        <f>IF(AND(K26&lt;&gt;"",L26&lt;&gt;""),L26-K26,"")</f>
        <v/>
      </c>
      <c r="N26" s="11">
        <f>IFERROR(M26/K26,"")</f>
        <v/>
      </c>
      <c r="O26" s="8" t="inlineStr">
        <is>
          <t>Reserve: Reserve Met; Closes 23 Aug 26</t>
        </is>
      </c>
    </row>
    <row r="27">
      <c r="A27" s="8" t="inlineStr">
        <is>
          <t>Cars</t>
        </is>
      </c>
      <c r="B27" s="8" t="inlineStr">
        <is>
          <t>Turners</t>
        </is>
      </c>
      <c r="C27" s="9" t="inlineStr">
        <is>
          <t>2016 Subaru Forester I 4WD</t>
        </is>
      </c>
      <c r="D27" s="10" t="n"/>
      <c r="E27" s="10" t="n"/>
      <c r="F27" s="8" t="inlineStr"/>
      <c r="G27" s="8" t="n">
        <v>6</v>
      </c>
      <c r="H27" s="8" t="inlineStr">
        <is>
          <t>high</t>
        </is>
      </c>
      <c r="I27" s="10" t="n"/>
      <c r="J27" s="10" t="n">
        <v>19500</v>
      </c>
      <c r="K27" s="10">
        <f>IF(D27&lt;&gt;"",D27*(1+$B$4),IF(E27&lt;&gt;"",E27,""))</f>
        <v/>
      </c>
      <c r="L27" s="10">
        <f>IF(J27&lt;&gt;"",J27*(1-$B$5)-$B$6,"")</f>
        <v/>
      </c>
      <c r="M27" s="10">
        <f>IF(AND(K27&lt;&gt;"",L27&lt;&gt;""),L27-K27,"")</f>
        <v/>
      </c>
      <c r="N27" s="11">
        <f>IFERROR(M27/K27,"")</f>
        <v/>
      </c>
      <c r="O27" s="8" t="inlineStr"/>
    </row>
    <row r="28">
      <c r="A28" s="8" t="inlineStr">
        <is>
          <t>Cars</t>
        </is>
      </c>
      <c r="B28" s="8" t="inlineStr">
        <is>
          <t>Turners</t>
        </is>
      </c>
      <c r="C28" s="9" t="inlineStr">
        <is>
          <t>2016 Subaru Outback</t>
        </is>
      </c>
      <c r="D28" s="10" t="n"/>
      <c r="E28" s="10" t="n"/>
      <c r="F28" s="8" t="inlineStr"/>
      <c r="G28" s="8" t="n">
        <v>5</v>
      </c>
      <c r="H28" s="8" t="inlineStr">
        <is>
          <t>high</t>
        </is>
      </c>
      <c r="I28" s="10" t="n"/>
      <c r="J28" s="10" t="n">
        <v>22000</v>
      </c>
      <c r="K28" s="10">
        <f>IF(D28&lt;&gt;"",D28*(1+$B$4),IF(E28&lt;&gt;"",E28,""))</f>
        <v/>
      </c>
      <c r="L28" s="10">
        <f>IF(J28&lt;&gt;"",J28*(1-$B$5)-$B$6,"")</f>
        <v/>
      </c>
      <c r="M28" s="10">
        <f>IF(AND(K28&lt;&gt;"",L28&lt;&gt;""),L28-K28,"")</f>
        <v/>
      </c>
      <c r="N28" s="11">
        <f>IFERROR(M28/K28,"")</f>
        <v/>
      </c>
      <c r="O28" s="8" t="inlineStr"/>
    </row>
    <row r="29">
      <c r="A29" s="8" t="inlineStr">
        <is>
          <t>Trucks &amp; Machinery</t>
        </is>
      </c>
      <c r="B29" s="8" t="inlineStr">
        <is>
          <t>Turners</t>
        </is>
      </c>
      <c r="C29" s="9" t="inlineStr">
        <is>
          <t>2013 Western Star 5884SS Logger</t>
        </is>
      </c>
      <c r="D29" s="10" t="n">
        <v>1018</v>
      </c>
      <c r="E29" s="10" t="n"/>
      <c r="F29" s="8" t="inlineStr">
        <is>
          <t>Poor Cab Condition Poor Interior Condition Poor Canopy Removable No JLoader Tracks No Tail Lift No Meatrails No Holding Tanks No Twistlock No Trailer Hydraulics No Fuel Diesel Transmission Manual Gears 18 Chassis Number BN6630 Tyre Size Axle 1 11R22.5 Tyre Size Axle 2 11R22.5 Tyre Size Axle 3 11R22.5 Tyre Size Axle 4 11R22.5 Wheel Base 6600 mm Brake Type Back Drum Brake Type Front Drum Brake System Full Air Front Suspension Spring Rear Suspension Air/Spring Front Axle Rating 14200 Rear Axle Rati</t>
        </is>
      </c>
      <c r="G29" s="8" t="n">
        <v>2</v>
      </c>
      <c r="H29" s="8" t="inlineStr">
        <is>
          <t>low</t>
        </is>
      </c>
      <c r="I29" s="10" t="n"/>
      <c r="J29" s="10" t="n">
        <v>8000</v>
      </c>
      <c r="K29" s="10">
        <f>IF(D29&lt;&gt;"",D29*(1+$B$4),IF(E29&lt;&gt;"",E29,""))</f>
        <v/>
      </c>
      <c r="L29" s="10">
        <f>IF(J29&lt;&gt;"",J29*(1-$B$5)-$B$6,"")</f>
        <v/>
      </c>
      <c r="M29" s="10">
        <f>IF(AND(K29&lt;&gt;"",L29&lt;&gt;""),L29-K29,"")</f>
        <v/>
      </c>
      <c r="N29" s="11">
        <f>IFERROR(M29/K29,"")</f>
        <v/>
      </c>
      <c r="O29" s="8" t="inlineStr">
        <is>
          <t>No comparable item found this run -- standalone assessment only</t>
        </is>
      </c>
    </row>
    <row r="30">
      <c r="A30" s="8" t="inlineStr">
        <is>
          <t>Motorbikes</t>
        </is>
      </c>
      <c r="B30" s="8" t="inlineStr">
        <is>
          <t>Turners</t>
        </is>
      </c>
      <c r="C30" s="9" t="inlineStr">
        <is>
          <t>2019 NIU N1 Sport N1S</t>
        </is>
      </c>
      <c r="D30" s="10" t="n">
        <v>500</v>
      </c>
      <c r="E30" s="10" t="n"/>
      <c r="F30" s="8" t="inlineStr"/>
      <c r="G30" s="8" t="n">
        <v>2</v>
      </c>
      <c r="H30" s="8" t="inlineStr">
        <is>
          <t>low</t>
        </is>
      </c>
      <c r="I30" s="10" t="n">
        <v>2200</v>
      </c>
      <c r="J30" s="10" t="n">
        <v>200</v>
      </c>
      <c r="K30" s="10">
        <f>IF(D30&lt;&gt;"",D30*(1+$B$4),IF(E30&lt;&gt;"",E30,""))</f>
        <v/>
      </c>
      <c r="L30" s="10">
        <f>IF(J30&lt;&gt;"",J30*(1-$B$5)-$B$6,"")</f>
        <v/>
      </c>
      <c r="M30" s="10">
        <f>IF(AND(K30&lt;&gt;"",L30&lt;&gt;""),L30-K30,"")</f>
        <v/>
      </c>
      <c r="N30" s="11">
        <f>IFERROR(M30/K30,"")</f>
        <v/>
      </c>
      <c r="O30" s="8" t="inlineStr"/>
    </row>
    <row r="31">
      <c r="A31" s="8" t="inlineStr">
        <is>
          <t>Motorbikes</t>
        </is>
      </c>
      <c r="B31" s="8" t="inlineStr">
        <is>
          <t>Turners</t>
        </is>
      </c>
      <c r="C31" s="9" t="inlineStr">
        <is>
          <t>2019 NIU N1 Sport</t>
        </is>
      </c>
      <c r="D31" s="10" t="n">
        <v>500</v>
      </c>
      <c r="E31" s="10" t="n"/>
      <c r="F31" s="8" t="inlineStr"/>
      <c r="G31" s="8" t="n">
        <v>2</v>
      </c>
      <c r="H31" s="8" t="inlineStr">
        <is>
          <t>low</t>
        </is>
      </c>
      <c r="I31" s="10" t="n">
        <v>2200</v>
      </c>
      <c r="J31" s="10" t="n">
        <v>200</v>
      </c>
      <c r="K31" s="10">
        <f>IF(D31&lt;&gt;"",D31*(1+$B$4),IF(E31&lt;&gt;"",E31,""))</f>
        <v/>
      </c>
      <c r="L31" s="10">
        <f>IF(J31&lt;&gt;"",J31*(1-$B$5)-$B$6,"")</f>
        <v/>
      </c>
      <c r="M31" s="10">
        <f>IF(AND(K31&lt;&gt;"",L31&lt;&gt;""),L31-K31,"")</f>
        <v/>
      </c>
      <c r="N31" s="11">
        <f>IFERROR(M31/K31,"")</f>
        <v/>
      </c>
      <c r="O31" s="8" t="inlineStr"/>
    </row>
    <row r="32">
      <c r="A32" s="8" t="inlineStr">
        <is>
          <t>Motorbikes</t>
        </is>
      </c>
      <c r="B32" s="8" t="inlineStr">
        <is>
          <t>Turners</t>
        </is>
      </c>
      <c r="C32" s="9" t="inlineStr">
        <is>
          <t>2019 NIU N1 Sport</t>
        </is>
      </c>
      <c r="D32" s="10" t="n">
        <v>500</v>
      </c>
      <c r="E32" s="10" t="n"/>
      <c r="F32" s="8" t="inlineStr"/>
      <c r="G32" s="8" t="n">
        <v>2</v>
      </c>
      <c r="H32" s="8" t="inlineStr">
        <is>
          <t>low</t>
        </is>
      </c>
      <c r="I32" s="10" t="n">
        <v>2200</v>
      </c>
      <c r="J32" s="10" t="n">
        <v>200</v>
      </c>
      <c r="K32" s="10">
        <f>IF(D32&lt;&gt;"",D32*(1+$B$4),IF(E32&lt;&gt;"",E32,""))</f>
        <v/>
      </c>
      <c r="L32" s="10">
        <f>IF(J32&lt;&gt;"",J32*(1-$B$5)-$B$6,"")</f>
        <v/>
      </c>
      <c r="M32" s="10">
        <f>IF(AND(K32&lt;&gt;"",L32&lt;&gt;""),L32-K32,"")</f>
        <v/>
      </c>
      <c r="N32" s="11">
        <f>IFERROR(M32/K32,"")</f>
        <v/>
      </c>
      <c r="O32" s="8" t="inlineStr"/>
    </row>
    <row r="33">
      <c r="A33" s="8" t="inlineStr">
        <is>
          <t>Trailers &amp; Caravans</t>
        </is>
      </c>
      <c r="B33" s="8" t="inlineStr">
        <is>
          <t>Turners</t>
        </is>
      </c>
      <c r="C33" s="9" t="inlineStr">
        <is>
          <t>2017 Mercedes-Benz Sprinter PLATIN 8400 Motorhome</t>
        </is>
      </c>
      <c r="D33" s="10" t="n"/>
      <c r="E33" s="10" t="n"/>
      <c r="F33" s="8" t="inlineStr"/>
      <c r="G33" s="8" t="n">
        <v>6</v>
      </c>
      <c r="H33" s="8" t="inlineStr">
        <is>
          <t>medium</t>
        </is>
      </c>
      <c r="I33" s="10" t="n"/>
      <c r="J33" s="10" t="n">
        <v>130000</v>
      </c>
      <c r="K33" s="10">
        <f>IF(D33&lt;&gt;"",D33*(1+$B$4),IF(E33&lt;&gt;"",E33,""))</f>
        <v/>
      </c>
      <c r="L33" s="10">
        <f>IF(J33&lt;&gt;"",J33*(1-$B$5)-$B$6,"")</f>
        <v/>
      </c>
      <c r="M33" s="10">
        <f>IF(AND(K33&lt;&gt;"",L33&lt;&gt;""),L33-K33,"")</f>
        <v/>
      </c>
      <c r="N33" s="11">
        <f>IFERROR(M33/K33,"")</f>
        <v/>
      </c>
      <c r="O33" s="8" t="inlineStr"/>
    </row>
    <row r="34">
      <c r="A34" s="8" t="inlineStr">
        <is>
          <t>Trailers &amp; Caravans</t>
        </is>
      </c>
      <c r="B34" s="8" t="inlineStr">
        <is>
          <t>Turners</t>
        </is>
      </c>
      <c r="C34" s="9" t="inlineStr">
        <is>
          <t>2017 Mercedes Benz Hymer S830 Motorhome</t>
        </is>
      </c>
      <c r="D34" s="10" t="n"/>
      <c r="E34" s="10" t="n"/>
      <c r="F34" s="8" t="inlineStr">
        <is>
          <t>Good Cab Condition Good Interior Condition Good Body Length 8200 mm Canopy Removable No JLoader Tracks No Tail Lift No Meatrails No Holding Tanks No Twistlock No Trailer Hydraulics No Mechanical Condition Average Fuel Diesel Transmission Automatic - Tiptronic Chassis Number WDB9056132R706371 Wheel Config 6X2 Tyre Size Axle 1 215/75R16C Tyre Size Axle 2 215/75R16C Wheel Base 4700 mm Brake Type Back Drum Brake Type Front Drum Front Suspension Spring Rear Suspension Spring Front Axle Rating 2100 Re</t>
        </is>
      </c>
      <c r="G34" s="8" t="n">
        <v>5</v>
      </c>
      <c r="H34" s="8" t="inlineStr">
        <is>
          <t>low</t>
        </is>
      </c>
      <c r="I34" s="10" t="n"/>
      <c r="J34" s="10" t="n">
        <v>85000</v>
      </c>
      <c r="K34" s="10">
        <f>IF(D34&lt;&gt;"",D34*(1+$B$4),IF(E34&lt;&gt;"",E34,""))</f>
        <v/>
      </c>
      <c r="L34" s="10">
        <f>IF(J34&lt;&gt;"",J34*(1-$B$5)-$B$6,"")</f>
        <v/>
      </c>
      <c r="M34" s="10">
        <f>IF(AND(K34&lt;&gt;"",L34&lt;&gt;""),L34-K34,"")</f>
        <v/>
      </c>
      <c r="N34" s="11">
        <f>IFERROR(M34/K34,"")</f>
        <v/>
      </c>
      <c r="O34" s="8" t="inlineStr"/>
    </row>
  </sheetData>
  <mergeCells count="1">
    <mergeCell ref="A1:C1"/>
  </mergeCells>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 xmlns:r="http://schemas.openxmlformats.org/officeDocument/2006/relationships" ref="C31" r:id="rId22"/>
    <hyperlink xmlns:r="http://schemas.openxmlformats.org/officeDocument/2006/relationships" ref="C32" r:id="rId23"/>
    <hyperlink xmlns:r="http://schemas.openxmlformats.org/officeDocument/2006/relationships" ref="C33" r:id="rId24"/>
    <hyperlink xmlns:r="http://schemas.openxmlformats.org/officeDocument/2006/relationships" ref="C34"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2026-08-16T05:20:47Z</dcterms:created>
  <dcterms:modified xmlns:dcterms="http://purl.org/dc/terms/" xmlns:xsi="http://www.w3.org/2001/XMLSchema-instance" xsi:type="dcterms:W3CDTF">2026-08-16T05:20:47Z</dcterms:modified>
</cp:coreProperties>
</file>