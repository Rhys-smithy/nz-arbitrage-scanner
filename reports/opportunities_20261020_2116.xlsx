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portun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;($#,##0.00);-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</font>
    <font>
      <name val="Arial"/>
    </font>
    <font>
      <name val="Arial"/>
      <color rgb="000000FF"/>
    </font>
    <font>
      <name val="Arial"/>
      <i val="1"/>
      <sz val="9"/>
    </font>
    <font>
      <name val="Arial"/>
      <b val="1"/>
      <color rgb="00FFFFFF"/>
      <sz val="11"/>
    </font>
    <font>
      <name val="Arial"/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2" borderId="0" pivotButton="0" quotePrefix="0" xfId="0"/>
    <xf numFmtId="4" fontId="4" fillId="2" borderId="0" pivotButton="0" quotePrefix="0" xfId="0"/>
    <xf numFmtId="0" fontId="5" fillId="0" borderId="0" pivotButton="0" quotePrefix="0" xfId="0"/>
    <xf numFmtId="0" fontId="6" fillId="3" borderId="0" applyAlignment="1" pivotButton="0" quotePrefix="0" xfId="0">
      <alignment vertical="center" wrapText="1"/>
    </xf>
    <xf numFmtId="0" fontId="3" fillId="0" borderId="1" pivotButton="0" quotePrefix="0" xfId="0"/>
    <xf numFmtId="0" fontId="7" fillId="0" borderId="1" pivotButton="0" quotePrefix="0" xfId="0"/>
    <xf numFmtId="165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urners.co.nz/General-Goods/Search/house--garden/cleaning-equipment/28083286" TargetMode="External" Id="rId1"/><Relationship Type="http://schemas.openxmlformats.org/officeDocument/2006/relationships/hyperlink" Target="https://www.turners.co.nz/General-Goods/Search/house--garden/lounge-furniture/25401538" TargetMode="External" Id="rId2"/><Relationship Type="http://schemas.openxmlformats.org/officeDocument/2006/relationships/hyperlink" Target="https://www.turners.co.nz/General-Goods/Search/automotive-goods/wheels/24290100" TargetMode="External" Id="rId3"/><Relationship Type="http://schemas.openxmlformats.org/officeDocument/2006/relationships/hyperlink" Target="https://www.turners.co.nz/Trucks-Machinery/Used-Trucks-and-Machinery-for-Sale/trailer/road-cheif/28532627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40" customWidth="1" min="3" max="3"/>
    <col width="12" customWidth="1" min="4" max="4"/>
    <col width="13" customWidth="1" min="5" max="5"/>
    <col width="12" customWidth="1" min="6" max="6"/>
    <col width="9" customWidth="1" min="7" max="7"/>
    <col width="14" customWidth="1" min="8" max="8"/>
    <col width="13" customWidth="1" min="9" max="9"/>
    <col width="14" customWidth="1" min="10" max="10"/>
    <col width="13" customWidth="1" min="11" max="11"/>
    <col width="14" customWidth="1" min="12" max="12"/>
    <col width="12" customWidth="1" min="13" max="13"/>
    <col width="10" customWidth="1" min="14" max="14"/>
    <col width="45" customWidth="1" min="15" max="15"/>
  </cols>
  <sheetData>
    <row r="1">
      <c r="A1" s="1" t="inlineStr">
        <is>
          <t>NZ Auction Scanner — Opportunities &amp; Profit Estimates</t>
        </is>
      </c>
    </row>
    <row r="3">
      <c r="A3" s="2" t="inlineStr">
        <is>
          <t>Assumptions (edit these — every row recalculates automatically)</t>
        </is>
      </c>
    </row>
    <row r="4">
      <c r="A4" s="3" t="inlineStr">
        <is>
          <t>Buyer's premium (%)</t>
        </is>
      </c>
      <c r="B4" s="4" t="n">
        <v>0.15</v>
      </c>
    </row>
    <row r="5">
      <c r="A5" s="3" t="inlineStr">
        <is>
          <t>Marketplace/platform fee on resale (%)</t>
        </is>
      </c>
      <c r="B5" s="4" t="n">
        <v>0.1</v>
      </c>
    </row>
    <row r="6">
      <c r="A6" s="3" t="inlineStr">
        <is>
          <t>Listing/postage cost per item (NZD)</t>
        </is>
      </c>
      <c r="B6" s="5" t="n">
        <v>10</v>
      </c>
    </row>
    <row r="7">
      <c r="A7" s="6" t="inlineStr">
        <is>
          <t>Note: figures are Claude's estimates, not real quotes — verify before bidding.</t>
        </is>
      </c>
    </row>
    <row r="9">
      <c r="A9" s="7" t="inlineStr">
        <is>
          <t>Category</t>
        </is>
      </c>
      <c r="B9" s="7" t="inlineStr">
        <is>
          <t>Source</t>
        </is>
      </c>
      <c r="C9" s="7" t="inlineStr">
        <is>
          <t>Title</t>
        </is>
      </c>
      <c r="D9" s="7" t="inlineStr">
        <is>
          <t>Price (NZD)</t>
        </is>
      </c>
      <c r="E9" s="7" t="inlineStr">
        <is>
          <t>Buy Now (NZD)</t>
        </is>
      </c>
      <c r="F9" s="7" t="inlineStr">
        <is>
          <t>Condition</t>
        </is>
      </c>
      <c r="G9" s="7" t="inlineStr">
        <is>
          <t>Score /10</t>
        </is>
      </c>
      <c r="H9" s="7" t="inlineStr">
        <is>
          <t>Resale Likelihood</t>
        </is>
      </c>
      <c r="I9" s="7" t="inlineStr">
        <is>
          <t>Est. New Price</t>
        </is>
      </c>
      <c r="J9" s="7" t="inlineStr">
        <is>
          <t>Suggested Resale</t>
        </is>
      </c>
      <c r="K9" s="7" t="inlineStr">
        <is>
          <t>Landed Cost</t>
        </is>
      </c>
      <c r="L9" s="7" t="inlineStr">
        <is>
          <t>Net Resale Rev.</t>
        </is>
      </c>
      <c r="M9" s="7" t="inlineStr">
        <is>
          <t>Profit (NZD)</t>
        </is>
      </c>
      <c r="N9" s="7" t="inlineStr">
        <is>
          <t>Profit %</t>
        </is>
      </c>
      <c r="O9" s="7" t="inlineStr">
        <is>
          <t>Notes</t>
        </is>
      </c>
    </row>
    <row r="10">
      <c r="A10" s="8" t="inlineStr">
        <is>
          <t>House &amp; Garden</t>
        </is>
      </c>
      <c r="B10" s="8" t="inlineStr">
        <is>
          <t>Turners</t>
        </is>
      </c>
      <c r="C10" s="9" t="inlineStr">
        <is>
          <t>Sink Snake Drain Clog RemoverTool (12pce) &amp; Retailers Box *NEW*</t>
        </is>
      </c>
      <c r="D10" s="10" t="n">
        <v>12</v>
      </c>
      <c r="E10" s="10" t="n"/>
      <c r="F10" s="8" t="inlineStr">
        <is>
          <t>As New</t>
        </is>
      </c>
      <c r="G10" s="8" t="n">
        <v>9</v>
      </c>
      <c r="H10" s="8" t="inlineStr">
        <is>
          <t>high</t>
        </is>
      </c>
      <c r="I10" s="10" t="n">
        <v>30</v>
      </c>
      <c r="J10" s="10" t="n">
        <v>25</v>
      </c>
      <c r="K10" s="10">
        <f>IF(D10&lt;&gt;"",D10*(1+$B$4),IF(E10&lt;&gt;"",E10,""))</f>
        <v/>
      </c>
      <c r="L10" s="10">
        <f>IF(J10&lt;&gt;"",J10*(1-$B$5)-$B$6,"")</f>
        <v/>
      </c>
      <c r="M10" s="10">
        <f>IF(AND(K10&lt;&gt;"",L10&lt;&gt;""),L10-K10,"")</f>
        <v/>
      </c>
      <c r="N10" s="11">
        <f>IFERROR(M10/K10,"")</f>
        <v/>
      </c>
      <c r="O10" s="8" t="inlineStr">
        <is>
          <t>Reserve: No Reserve; Closes 25 Oct 26</t>
        </is>
      </c>
    </row>
    <row r="11">
      <c r="A11" s="8" t="inlineStr">
        <is>
          <t>House &amp; Garden</t>
        </is>
      </c>
      <c r="B11" s="8" t="inlineStr">
        <is>
          <t>Turners</t>
        </is>
      </c>
      <c r="C11" s="9" t="inlineStr">
        <is>
          <t>Marble Coffee Table</t>
        </is>
      </c>
      <c r="D11" s="10" t="n">
        <v>1</v>
      </c>
      <c r="E11" s="10" t="n"/>
      <c r="F11" s="8" t="inlineStr">
        <is>
          <t>Average</t>
        </is>
      </c>
      <c r="G11" s="8" t="n">
        <v>2</v>
      </c>
      <c r="H11" s="8" t="inlineStr">
        <is>
          <t>low</t>
        </is>
      </c>
      <c r="I11" s="10" t="n">
        <v>800</v>
      </c>
      <c r="J11" s="10" t="n"/>
      <c r="K11" s="10">
        <f>IF(D11&lt;&gt;"",D11*(1+$B$4),IF(E11&lt;&gt;"",E11,""))</f>
        <v/>
      </c>
      <c r="L11" s="10">
        <f>IF(J11&lt;&gt;"",J11*(1-$B$5)-$B$6,"")</f>
        <v/>
      </c>
      <c r="M11" s="10">
        <f>IF(AND(K11&lt;&gt;"",L11&lt;&gt;""),L11-K11,"")</f>
        <v/>
      </c>
      <c r="N11" s="11">
        <f>IFERROR(M11/K11,"")</f>
        <v/>
      </c>
      <c r="O11" s="8" t="inlineStr">
        <is>
          <t>No comparable item found this run -- standalone assessment only; Reserve: Reserve Met; Closes unknown</t>
        </is>
      </c>
    </row>
    <row r="12">
      <c r="A12" s="8" t="inlineStr">
        <is>
          <t>Automotive Parts</t>
        </is>
      </c>
      <c r="B12" s="8" t="inlineStr">
        <is>
          <t>Turners</t>
        </is>
      </c>
      <c r="C12" s="9" t="inlineStr">
        <is>
          <t>Wheels set</t>
        </is>
      </c>
      <c r="D12" s="10" t="n">
        <v>34</v>
      </c>
      <c r="E12" s="10" t="n"/>
      <c r="F12" s="8" t="inlineStr">
        <is>
          <t>Average</t>
        </is>
      </c>
      <c r="G12" s="8" t="n">
        <v>6</v>
      </c>
      <c r="H12" s="8" t="inlineStr">
        <is>
          <t>medium</t>
        </is>
      </c>
      <c r="I12" s="10" t="n">
        <v>600</v>
      </c>
      <c r="J12" s="10" t="n">
        <v>120</v>
      </c>
      <c r="K12" s="10">
        <f>IF(D12&lt;&gt;"",D12*(1+$B$4),IF(E12&lt;&gt;"",E12,""))</f>
        <v/>
      </c>
      <c r="L12" s="10">
        <f>IF(J12&lt;&gt;"",J12*(1-$B$5)-$B$6,"")</f>
        <v/>
      </c>
      <c r="M12" s="10">
        <f>IF(AND(K12&lt;&gt;"",L12&lt;&gt;""),L12-K12,"")</f>
        <v/>
      </c>
      <c r="N12" s="11">
        <f>IFERROR(M12/K12,"")</f>
        <v/>
      </c>
      <c r="O12" s="8" t="inlineStr">
        <is>
          <t>No comparable item found this run -- standalone assessment only; Reserve: Reserve Met; Closes unknown</t>
        </is>
      </c>
    </row>
    <row r="13">
      <c r="A13" s="8" t="inlineStr">
        <is>
          <t>Trucks &amp; Machinery</t>
        </is>
      </c>
      <c r="B13" s="8" t="inlineStr">
        <is>
          <t>Turners</t>
        </is>
      </c>
      <c r="C13" s="9" t="inlineStr">
        <is>
          <t>2015 TRAILER ROAD CHEIF Other Trailers</t>
        </is>
      </c>
      <c r="D13" s="10" t="n">
        <v>1010</v>
      </c>
      <c r="E13" s="10" t="n"/>
      <c r="F13" s="8" t="inlineStr"/>
      <c r="G13" s="8" t="n">
        <v>2</v>
      </c>
      <c r="H13" s="8" t="inlineStr">
        <is>
          <t>low</t>
        </is>
      </c>
      <c r="I13" s="10" t="n"/>
      <c r="J13" s="10" t="n"/>
      <c r="K13" s="10">
        <f>IF(D13&lt;&gt;"",D13*(1+$B$4),IF(E13&lt;&gt;"",E13,""))</f>
        <v/>
      </c>
      <c r="L13" s="10">
        <f>IF(J13&lt;&gt;"",J13*(1-$B$5)-$B$6,"")</f>
        <v/>
      </c>
      <c r="M13" s="10">
        <f>IF(AND(K13&lt;&gt;"",L13&lt;&gt;""),L13-K13,"")</f>
        <v/>
      </c>
      <c r="N13" s="11">
        <f>IFERROR(M13/K13,"")</f>
        <v/>
      </c>
      <c r="O13" s="8" t="inlineStr">
        <is>
          <t>No comparable item found this run -- standalone assessment only</t>
        </is>
      </c>
    </row>
  </sheetData>
  <mergeCells count="1">
    <mergeCell ref="A1:C1"/>
  </mergeCells>
  <hyperlinks>
    <hyperlink xmlns:r="http://schemas.openxmlformats.org/officeDocument/2006/relationships" ref="C10" r:id="rId1"/>
    <hyperlink xmlns:r="http://schemas.openxmlformats.org/officeDocument/2006/relationships" ref="C11" r:id="rId2"/>
    <hyperlink xmlns:r="http://schemas.openxmlformats.org/officeDocument/2006/relationships" ref="C12" r:id="rId3"/>
    <hyperlink xmlns:r="http://schemas.openxmlformats.org/officeDocument/2006/relationships" ref="C13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2026-10-20T21:16:03Z</dcterms:created>
  <dcterms:modified xmlns:dcterms="http://purl.org/dc/terms/" xmlns:xsi="http://www.w3.org/2001/XMLSchema-instance" xsi:type="dcterms:W3CDTF">2026-10-20T21:16:03Z</dcterms:modified>
</cp:coreProperties>
</file>