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printer/24373355" TargetMode="External" Id="rId1"/><Relationship Type="http://schemas.openxmlformats.org/officeDocument/2006/relationships/hyperlink" Target="https://www.turners.co.nz/General-Goods/Search/electronics/other/25310475" TargetMode="External" Id="rId2"/><Relationship Type="http://schemas.openxmlformats.org/officeDocument/2006/relationships/hyperlink" Target="https://www.turners.co.nz/General-Goods/Search/sport--leisure/camping-equipment/25308568" TargetMode="External" Id="rId3"/><Relationship Type="http://schemas.openxmlformats.org/officeDocument/2006/relationships/hyperlink" Target="https://www.turners.co.nz/General-Goods/Search/sport--leisure/other/25309313" TargetMode="External" Id="rId4"/><Relationship Type="http://schemas.openxmlformats.org/officeDocument/2006/relationships/hyperlink" Target="https://www.turners.co.nz/General-Goods/Search/house--garden/security-locks--alarms/25309724" TargetMode="External" Id="rId5"/><Relationship Type="http://schemas.openxmlformats.org/officeDocument/2006/relationships/hyperlink" Target="https://www.turners.co.nz/General-Goods/Search/house--garden/heating--cooling/25308450" TargetMode="External" Id="rId6"/><Relationship Type="http://schemas.openxmlformats.org/officeDocument/2006/relationships/hyperlink" Target="https://www.turners.co.nz/General-Goods/Search/automotive-goods/other/28063325" TargetMode="External" Id="rId7"/><Relationship Type="http://schemas.openxmlformats.org/officeDocument/2006/relationships/hyperlink" Target="https://www.turners.co.nz/General-Goods/Search/automotive-goods/other/281333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Fuji C325 Laser Copier TA13081</t>
        </is>
      </c>
      <c r="D10" s="10" t="n">
        <v>1</v>
      </c>
      <c r="E10" s="10" t="n"/>
      <c r="F10" s="8" t="inlineStr">
        <is>
          <t>Tidy</t>
        </is>
      </c>
      <c r="G10" s="8" t="n">
        <v>9</v>
      </c>
      <c r="H10" s="8" t="inlineStr">
        <is>
          <t>medium</t>
        </is>
      </c>
      <c r="I10" s="10" t="n">
        <v>2500</v>
      </c>
      <c r="J10" s="10" t="n">
        <v>800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21 Aug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Permaconn Electronics, Ethernet Cables &amp; More</t>
        </is>
      </c>
      <c r="D11" s="10" t="n">
        <v>1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/>
      <c r="J11" s="10" t="n">
        <v>15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23 Aug 26</t>
        </is>
      </c>
    </row>
    <row r="12">
      <c r="A12" s="8" t="inlineStr">
        <is>
          <t>Sport &amp; Leisure</t>
        </is>
      </c>
      <c r="B12" s="8" t="inlineStr">
        <is>
          <t>Turners</t>
        </is>
      </c>
      <c r="C12" s="9" t="inlineStr">
        <is>
          <t>Pierlite Multi Tool</t>
        </is>
      </c>
      <c r="D12" s="10" t="n">
        <v>1</v>
      </c>
      <c r="E12" s="10" t="n"/>
      <c r="F12" s="8" t="inlineStr">
        <is>
          <t>Average</t>
        </is>
      </c>
      <c r="G12" s="8" t="n">
        <v>9</v>
      </c>
      <c r="H12" s="8" t="inlineStr">
        <is>
          <t>high</t>
        </is>
      </c>
      <c r="I12" s="10" t="n">
        <v>35</v>
      </c>
      <c r="J12" s="10" t="n">
        <v>20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23 Aug 26</t>
        </is>
      </c>
    </row>
    <row r="13">
      <c r="A13" s="8" t="inlineStr">
        <is>
          <t>Sport &amp; Leisure</t>
        </is>
      </c>
      <c r="B13" s="8" t="inlineStr">
        <is>
          <t>Turners</t>
        </is>
      </c>
      <c r="C13" s="9" t="inlineStr">
        <is>
          <t>Steinlager Dart Board</t>
        </is>
      </c>
      <c r="D13" s="10" t="n">
        <v>2</v>
      </c>
      <c r="E13" s="10" t="n"/>
      <c r="F13" s="8" t="inlineStr">
        <is>
          <t>Average</t>
        </is>
      </c>
      <c r="G13" s="8" t="n">
        <v>8</v>
      </c>
      <c r="H13" s="8" t="inlineStr">
        <is>
          <t>high</t>
        </is>
      </c>
      <c r="I13" s="10" t="n">
        <v>150</v>
      </c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23 Aug 26</t>
        </is>
      </c>
    </row>
    <row r="14">
      <c r="A14" s="8" t="inlineStr">
        <is>
          <t>House &amp; Garden</t>
        </is>
      </c>
      <c r="B14" s="8" t="inlineStr">
        <is>
          <t>Turners</t>
        </is>
      </c>
      <c r="C14" s="9" t="inlineStr">
        <is>
          <t>Provision PR-B50PB Pole Mount Brackets 4x</t>
        </is>
      </c>
      <c r="D14" s="10" t="n">
        <v>1</v>
      </c>
      <c r="E14" s="10" t="n"/>
      <c r="F14" s="8" t="inlineStr">
        <is>
          <t>As New</t>
        </is>
      </c>
      <c r="G14" s="8" t="n">
        <v>9</v>
      </c>
      <c r="H14" s="8" t="inlineStr">
        <is>
          <t>high</t>
        </is>
      </c>
      <c r="I14" s="10" t="n">
        <v>80</v>
      </c>
      <c r="J14" s="10" t="n">
        <v>60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No Reserve; Closes 23 Aug 26</t>
        </is>
      </c>
    </row>
    <row r="15">
      <c r="A15" s="8" t="inlineStr">
        <is>
          <t>House &amp; Garden</t>
        </is>
      </c>
      <c r="B15" s="8" t="inlineStr">
        <is>
          <t>Turners</t>
        </is>
      </c>
      <c r="C15" s="9" t="inlineStr">
        <is>
          <t>Anko Fan Heater</t>
        </is>
      </c>
      <c r="D15" s="10" t="n">
        <v>1</v>
      </c>
      <c r="E15" s="10" t="n"/>
      <c r="F15" s="8" t="inlineStr">
        <is>
          <t>Average</t>
        </is>
      </c>
      <c r="G15" s="8" t="n">
        <v>9</v>
      </c>
      <c r="H15" s="8" t="inlineStr">
        <is>
          <t>high</t>
        </is>
      </c>
      <c r="I15" s="10" t="n">
        <v>60</v>
      </c>
      <c r="J15" s="10" t="n">
        <v>35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No Reserve; Closes 23 Aug 26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Automatic Transmission Treatment</t>
        </is>
      </c>
      <c r="D16" s="10" t="n">
        <v>3</v>
      </c>
      <c r="E16" s="10" t="n"/>
      <c r="F16" s="8" t="inlineStr">
        <is>
          <t>Average</t>
        </is>
      </c>
      <c r="G16" s="8" t="n">
        <v>3</v>
      </c>
      <c r="H16" s="8" t="inlineStr">
        <is>
          <t>low</t>
        </is>
      </c>
      <c r="I16" s="10" t="n">
        <v>40</v>
      </c>
      <c r="J16" s="10" t="n">
        <v>8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No comparable item found this run -- standalone assessment only; Reserve: Reserve Met; Closes unknown</t>
        </is>
      </c>
    </row>
    <row r="17">
      <c r="A17" s="8" t="inlineStr">
        <is>
          <t>Automotive Parts</t>
        </is>
      </c>
      <c r="B17" s="8" t="inlineStr">
        <is>
          <t>Turners</t>
        </is>
      </c>
      <c r="C17" s="9" t="inlineStr">
        <is>
          <t>Diff and Gear Treatment</t>
        </is>
      </c>
      <c r="D17" s="10" t="n">
        <v>3</v>
      </c>
      <c r="E17" s="10" t="n"/>
      <c r="F17" s="8" t="inlineStr">
        <is>
          <t>Average</t>
        </is>
      </c>
      <c r="G17" s="8" t="n">
        <v>2</v>
      </c>
      <c r="H17" s="8" t="inlineStr">
        <is>
          <t>low</t>
        </is>
      </c>
      <c r="I17" s="10" t="n"/>
      <c r="J17" s="10" t="n">
        <v>8</v>
      </c>
      <c r="K17" s="10">
        <f>IF(D17&lt;&gt;"",D17*(1+$B$4),IF(E17&lt;&gt;"",E17,""))</f>
        <v/>
      </c>
      <c r="L17" s="10">
        <f>IF(J17&lt;&gt;"",J17*(1-$B$5)-$B$6,"")</f>
        <v/>
      </c>
      <c r="M17" s="10">
        <f>IF(AND(K17&lt;&gt;"",L17&lt;&gt;""),L17-K17,"")</f>
        <v/>
      </c>
      <c r="N17" s="11">
        <f>IFERROR(M17/K17,"")</f>
        <v/>
      </c>
      <c r="O17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2026-08-16T10:56:09Z</dcterms:created>
  <dcterms:modified xmlns:dcterms="http://purl.org/dc/terms/" xmlns:xsi="http://www.w3.org/2001/XMLSchema-instance" xsi:type="dcterms:W3CDTF">2026-08-16T10:56:09Z</dcterms:modified>
</cp:coreProperties>
</file>