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other/22598200" TargetMode="External" Id="rId1"/><Relationship Type="http://schemas.openxmlformats.org/officeDocument/2006/relationships/hyperlink" Target="https://www.turners.co.nz/General-Goods/Search/electronics/cellular-mobile-phones/22598216" TargetMode="External" Id="rId2"/><Relationship Type="http://schemas.openxmlformats.org/officeDocument/2006/relationships/hyperlink" Target="https://www.turners.co.nz/General-Goods/Search/sport--leisure/exercise-equipment/22598228" TargetMode="External" Id="rId3"/><Relationship Type="http://schemas.openxmlformats.org/officeDocument/2006/relationships/hyperlink" Target="https://www.turners.co.nz/General-Goods/Search/sport--leisure/exercise-equipment/22598237" TargetMode="External" Id="rId4"/><Relationship Type="http://schemas.openxmlformats.org/officeDocument/2006/relationships/hyperlink" Target="https://www.turners.co.nz/General-Goods/Search/sport--leisure/exercise-equipment/22598244" TargetMode="External" Id="rId5"/><Relationship Type="http://schemas.openxmlformats.org/officeDocument/2006/relationships/hyperlink" Target="https://www.turners.co.nz/General-Goods/Search/jewellery/necklaces--pendants/25315805" TargetMode="External" Id="rId6"/><Relationship Type="http://schemas.openxmlformats.org/officeDocument/2006/relationships/hyperlink" Target="https://www.turners.co.nz/General-Goods/Search/automotive-goods/car-parts/28475596" TargetMode="External" Id="rId7"/><Relationship Type="http://schemas.openxmlformats.org/officeDocument/2006/relationships/hyperlink" Target="https://www.turners.co.nz/General-Goods/Search/automotive-goods/car-parts/28475577" TargetMode="External" Id="rId8"/><Relationship Type="http://schemas.openxmlformats.org/officeDocument/2006/relationships/hyperlink" Target="https://www.turners.co.nz/motorcycles-scooters/Used-Motorbikes-for-Sale/yamaha/ag200/25432592" TargetMode="External" Id="rId9"/><Relationship Type="http://schemas.openxmlformats.org/officeDocument/2006/relationships/hyperlink" Target="https://www.turners.co.nz/motorcycles-scooters/Used-Motorbikes-for-Sale/yamaha/ag200/25432528" TargetMode="External" Id="rId10"/><Relationship Type="http://schemas.openxmlformats.org/officeDocument/2006/relationships/hyperlink" Target="https://www.turners.co.nz/motorcycles-scooters/Used-Motorbikes-for-Sale/circa-yamaha/ag200/25432571" TargetMode="External" Id="rId11"/><Relationship Type="http://schemas.openxmlformats.org/officeDocument/2006/relationships/hyperlink" Target="https://www.turners.co.nz/buses-caravans/Used-Caravans-and-Motorhomes-for-Sale/mercedes-benz/sprinter/28155357" TargetMode="External" Id="rId12"/><Relationship Type="http://schemas.openxmlformats.org/officeDocument/2006/relationships/hyperlink" Target="https://www.turners.co.nz/buses-caravans/Used-Caravans-and-Motorhomes-for-Sale/mercedes-benz/sprinter/28290355" TargetMode="External" Id="rId13"/></Relationships>
</file>

<file path=xl/worksheets/sheet1.xml><?xml version="1.0" encoding="utf-8"?>
<worksheet xmlns="http://schemas.openxmlformats.org/spreadsheetml/2006/main">
  <sheetPr>
    <outlinePr summaryBelow="1" summaryRight="1"/>
    <pageSetUpPr/>
  </sheetPr>
  <dimension ref="A1:O22"/>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Apple ipad Pro 11-inch (M4)</t>
        </is>
      </c>
      <c r="D10" s="10" t="n">
        <v>4</v>
      </c>
      <c r="E10" s="10" t="n"/>
      <c r="F10" s="8" t="inlineStr">
        <is>
          <t>Very Tidy</t>
        </is>
      </c>
      <c r="G10" s="8" t="n">
        <v>9</v>
      </c>
      <c r="H10" s="8" t="inlineStr">
        <is>
          <t>high</t>
        </is>
      </c>
      <c r="I10" s="10" t="n">
        <v>2200</v>
      </c>
      <c r="J10" s="10" t="n">
        <v>1800</v>
      </c>
      <c r="K10" s="10">
        <f>IF(D10&lt;&gt;"",D10*(1+$B$4),IF(E10&lt;&gt;"",E10,""))</f>
        <v/>
      </c>
      <c r="L10" s="10">
        <f>IF(J10&lt;&gt;"",J10*(1-$B$5)-$B$6,"")</f>
        <v/>
      </c>
      <c r="M10" s="10">
        <f>IF(AND(K10&lt;&gt;"",L10&lt;&gt;""),L10-K10,"")</f>
        <v/>
      </c>
      <c r="N10" s="11">
        <f>IFERROR(M10/K10,"")</f>
        <v/>
      </c>
      <c r="O10" s="8" t="inlineStr">
        <is>
          <t>No comparable item found this run -- standalone assessment only; Reserve: Reserve Met; Closes 30 Sep 26</t>
        </is>
      </c>
    </row>
    <row r="11">
      <c r="A11" s="8" t="inlineStr">
        <is>
          <t>Electronics &amp; Tech</t>
        </is>
      </c>
      <c r="B11" s="8" t="inlineStr">
        <is>
          <t>Turners</t>
        </is>
      </c>
      <c r="C11" s="9" t="inlineStr">
        <is>
          <t>Apple iPhone 17e</t>
        </is>
      </c>
      <c r="D11" s="10" t="n">
        <v>500</v>
      </c>
      <c r="E11" s="10" t="n"/>
      <c r="F11" s="8" t="inlineStr">
        <is>
          <t>Very Tidy</t>
        </is>
      </c>
      <c r="G11" s="8" t="n">
        <v>2</v>
      </c>
      <c r="H11" s="8" t="inlineStr">
        <is>
          <t>low</t>
        </is>
      </c>
      <c r="I11" s="10" t="n"/>
      <c r="J11" s="10" t="n"/>
      <c r="K11" s="10">
        <f>IF(D11&lt;&gt;"",D11*(1+$B$4),IF(E11&lt;&gt;"",E11,""))</f>
        <v/>
      </c>
      <c r="L11" s="10">
        <f>IF(J11&lt;&gt;"",J11*(1-$B$5)-$B$6,"")</f>
        <v/>
      </c>
      <c r="M11" s="10">
        <f>IF(AND(K11&lt;&gt;"",L11&lt;&gt;""),L11-K11,"")</f>
        <v/>
      </c>
      <c r="N11" s="11">
        <f>IFERROR(M11/K11,"")</f>
        <v/>
      </c>
      <c r="O11" s="8" t="inlineStr">
        <is>
          <t>No comparable item found this run -- standalone assessment only; Reserve: Reserve Met; Closes 30 Sep 26</t>
        </is>
      </c>
    </row>
    <row r="12">
      <c r="A12" s="8" t="inlineStr">
        <is>
          <t>Sport &amp; Leisure</t>
        </is>
      </c>
      <c r="B12" s="8" t="inlineStr">
        <is>
          <t>Turners</t>
        </is>
      </c>
      <c r="C12" s="9" t="inlineStr">
        <is>
          <t>Matrix Spin Bike</t>
        </is>
      </c>
      <c r="D12" s="10" t="n">
        <v>2</v>
      </c>
      <c r="E12" s="10" t="n"/>
      <c r="F12" s="8" t="inlineStr">
        <is>
          <t>Excellent</t>
        </is>
      </c>
      <c r="G12" s="8" t="n">
        <v>10</v>
      </c>
      <c r="H12" s="8" t="inlineStr">
        <is>
          <t>high</t>
        </is>
      </c>
      <c r="I12" s="10" t="n">
        <v>1000</v>
      </c>
      <c r="J12" s="10" t="n">
        <v>500</v>
      </c>
      <c r="K12" s="10">
        <f>IF(D12&lt;&gt;"",D12*(1+$B$4),IF(E12&lt;&gt;"",E12,""))</f>
        <v/>
      </c>
      <c r="L12" s="10">
        <f>IF(J12&lt;&gt;"",J12*(1-$B$5)-$B$6,"")</f>
        <v/>
      </c>
      <c r="M12" s="10">
        <f>IF(AND(K12&lt;&gt;"",L12&lt;&gt;""),L12-K12,"")</f>
        <v/>
      </c>
      <c r="N12" s="11">
        <f>IFERROR(M12/K12,"")</f>
        <v/>
      </c>
      <c r="O12" s="8" t="inlineStr">
        <is>
          <t>Reserve: Reserve Met; Closes 30 Sep 26</t>
        </is>
      </c>
    </row>
    <row r="13">
      <c r="A13" s="8" t="inlineStr">
        <is>
          <t>Sport &amp; Leisure</t>
        </is>
      </c>
      <c r="B13" s="8" t="inlineStr">
        <is>
          <t>Turners</t>
        </is>
      </c>
      <c r="C13" s="9" t="inlineStr">
        <is>
          <t>Matrix Spin Bike</t>
        </is>
      </c>
      <c r="D13" s="10" t="n">
        <v>1</v>
      </c>
      <c r="E13" s="10" t="n"/>
      <c r="F13" s="8" t="inlineStr">
        <is>
          <t>Excellent</t>
        </is>
      </c>
      <c r="G13" s="8" t="n">
        <v>10</v>
      </c>
      <c r="H13" s="8" t="inlineStr">
        <is>
          <t>high</t>
        </is>
      </c>
      <c r="I13" s="10" t="n">
        <v>1000</v>
      </c>
      <c r="J13" s="10" t="n">
        <v>500</v>
      </c>
      <c r="K13" s="10">
        <f>IF(D13&lt;&gt;"",D13*(1+$B$4),IF(E13&lt;&gt;"",E13,""))</f>
        <v/>
      </c>
      <c r="L13" s="10">
        <f>IF(J13&lt;&gt;"",J13*(1-$B$5)-$B$6,"")</f>
        <v/>
      </c>
      <c r="M13" s="10">
        <f>IF(AND(K13&lt;&gt;"",L13&lt;&gt;""),L13-K13,"")</f>
        <v/>
      </c>
      <c r="N13" s="11">
        <f>IFERROR(M13/K13,"")</f>
        <v/>
      </c>
      <c r="O13" s="8" t="inlineStr">
        <is>
          <t>Reserve: Reserve Met; Closes 30 Sep 26</t>
        </is>
      </c>
    </row>
    <row r="14">
      <c r="A14" s="8" t="inlineStr">
        <is>
          <t>Sport &amp; Leisure</t>
        </is>
      </c>
      <c r="B14" s="8" t="inlineStr">
        <is>
          <t>Turners</t>
        </is>
      </c>
      <c r="C14" s="9" t="inlineStr">
        <is>
          <t>Matrix Spin Bike</t>
        </is>
      </c>
      <c r="D14" s="10" t="n">
        <v>1</v>
      </c>
      <c r="E14" s="10" t="n"/>
      <c r="F14" s="8" t="inlineStr">
        <is>
          <t>Excellent</t>
        </is>
      </c>
      <c r="G14" s="8" t="n">
        <v>10</v>
      </c>
      <c r="H14" s="8" t="inlineStr">
        <is>
          <t>high</t>
        </is>
      </c>
      <c r="I14" s="10" t="n">
        <v>1000</v>
      </c>
      <c r="J14" s="10" t="n">
        <v>500</v>
      </c>
      <c r="K14" s="10">
        <f>IF(D14&lt;&gt;"",D14*(1+$B$4),IF(E14&lt;&gt;"",E14,""))</f>
        <v/>
      </c>
      <c r="L14" s="10">
        <f>IF(J14&lt;&gt;"",J14*(1-$B$5)-$B$6,"")</f>
        <v/>
      </c>
      <c r="M14" s="10">
        <f>IF(AND(K14&lt;&gt;"",L14&lt;&gt;""),L14-K14,"")</f>
        <v/>
      </c>
      <c r="N14" s="11">
        <f>IFERROR(M14/K14,"")</f>
        <v/>
      </c>
      <c r="O14" s="8" t="inlineStr">
        <is>
          <t>Reserve: Reserve Met; Closes 30 Sep 26</t>
        </is>
      </c>
    </row>
    <row r="15">
      <c r="A15" s="8" t="inlineStr">
        <is>
          <t>Jewellery &amp; Watches</t>
        </is>
      </c>
      <c r="B15" s="8" t="inlineStr">
        <is>
          <t>Turners</t>
        </is>
      </c>
      <c r="C15" s="9" t="inlineStr">
        <is>
          <t>Jadiete Flower Head Pendant</t>
        </is>
      </c>
      <c r="D15" s="10" t="n">
        <v>3</v>
      </c>
      <c r="E15" s="10" t="n"/>
      <c r="F15" s="8" t="inlineStr">
        <is>
          <t>Average</t>
        </is>
      </c>
      <c r="G15" s="8" t="n">
        <v>3</v>
      </c>
      <c r="H15" s="8" t="inlineStr">
        <is>
          <t>low</t>
        </is>
      </c>
      <c r="I15" s="10" t="n">
        <v>25</v>
      </c>
      <c r="J15" s="10" t="n">
        <v>8</v>
      </c>
      <c r="K15" s="10">
        <f>IF(D15&lt;&gt;"",D15*(1+$B$4),IF(E15&lt;&gt;"",E15,""))</f>
        <v/>
      </c>
      <c r="L15" s="10">
        <f>IF(J15&lt;&gt;"",J15*(1-$B$5)-$B$6,"")</f>
        <v/>
      </c>
      <c r="M15" s="10">
        <f>IF(AND(K15&lt;&gt;"",L15&lt;&gt;""),L15-K15,"")</f>
        <v/>
      </c>
      <c r="N15" s="11">
        <f>IFERROR(M15/K15,"")</f>
        <v/>
      </c>
      <c r="O15" s="8" t="inlineStr">
        <is>
          <t>No comparable item found this run -- standalone assessment only; Reserve: Reserve Met; Closes 28 Sep 26</t>
        </is>
      </c>
    </row>
    <row r="16">
      <c r="A16" s="8" t="inlineStr">
        <is>
          <t>Automotive Parts</t>
        </is>
      </c>
      <c r="B16" s="8" t="inlineStr">
        <is>
          <t>Turners</t>
        </is>
      </c>
      <c r="C16" s="9" t="inlineStr">
        <is>
          <t>Lights, Lenses &amp; Reflectors - *New* Automotive Electrical Clearance</t>
        </is>
      </c>
      <c r="D16" s="10" t="n">
        <v>58</v>
      </c>
      <c r="E16" s="10" t="n"/>
      <c r="F16" s="8" t="inlineStr">
        <is>
          <t>As New</t>
        </is>
      </c>
      <c r="G16" s="8" t="n">
        <v>7</v>
      </c>
      <c r="H16" s="8" t="inlineStr">
        <is>
          <t>medium</t>
        </is>
      </c>
      <c r="I16" s="10" t="n">
        <v>150</v>
      </c>
      <c r="J16" s="10" t="n">
        <v>85</v>
      </c>
      <c r="K16" s="10">
        <f>IF(D16&lt;&gt;"",D16*(1+$B$4),IF(E16&lt;&gt;"",E16,""))</f>
        <v/>
      </c>
      <c r="L16" s="10">
        <f>IF(J16&lt;&gt;"",J16*(1-$B$5)-$B$6,"")</f>
        <v/>
      </c>
      <c r="M16" s="10">
        <f>IF(AND(K16&lt;&gt;"",L16&lt;&gt;""),L16-K16,"")</f>
        <v/>
      </c>
      <c r="N16" s="11">
        <f>IFERROR(M16/K16,"")</f>
        <v/>
      </c>
      <c r="O16" s="8" t="inlineStr">
        <is>
          <t>No comparable item found this run -- standalone assessment only; Reserve: No Reserve; Closes unknown</t>
        </is>
      </c>
    </row>
    <row r="17">
      <c r="A17" s="8" t="inlineStr">
        <is>
          <t>Automotive Parts</t>
        </is>
      </c>
      <c r="B17" s="8" t="inlineStr">
        <is>
          <t>Turners</t>
        </is>
      </c>
      <c r="C17" s="9" t="inlineStr">
        <is>
          <t>Fuse Holders , Fuses &amp; Relays - *New* Automotive Electrical Clearance</t>
        </is>
      </c>
      <c r="D17" s="10" t="n">
        <v>58</v>
      </c>
      <c r="E17" s="10" t="n"/>
      <c r="F17" s="8" t="inlineStr">
        <is>
          <t>As New</t>
        </is>
      </c>
      <c r="G17" s="8" t="n">
        <v>6</v>
      </c>
      <c r="H17" s="8" t="inlineStr">
        <is>
          <t>medium</t>
        </is>
      </c>
      <c r="I17" s="10" t="n">
        <v>120</v>
      </c>
      <c r="J17" s="10" t="n">
        <v>70</v>
      </c>
      <c r="K17" s="10">
        <f>IF(D17&lt;&gt;"",D17*(1+$B$4),IF(E17&lt;&gt;"",E17,""))</f>
        <v/>
      </c>
      <c r="L17" s="10">
        <f>IF(J17&lt;&gt;"",J17*(1-$B$5)-$B$6,"")</f>
        <v/>
      </c>
      <c r="M17" s="10">
        <f>IF(AND(K17&lt;&gt;"",L17&lt;&gt;""),L17-K17,"")</f>
        <v/>
      </c>
      <c r="N17" s="11">
        <f>IFERROR(M17/K17,"")</f>
        <v/>
      </c>
      <c r="O17" s="8" t="inlineStr">
        <is>
          <t>No comparable item found this run -- standalone assessment only; Reserve: No Reserve; Closes unknown</t>
        </is>
      </c>
    </row>
    <row r="18">
      <c r="A18" s="8" t="inlineStr">
        <is>
          <t>Motorbikes</t>
        </is>
      </c>
      <c r="B18" s="8" t="inlineStr">
        <is>
          <t>Turners</t>
        </is>
      </c>
      <c r="C18" s="9" t="inlineStr">
        <is>
          <t>2022 Yamaha AG200</t>
        </is>
      </c>
      <c r="D18" s="10" t="n">
        <v>850</v>
      </c>
      <c r="E18" s="10" t="n"/>
      <c r="F18" s="8" t="inlineStr"/>
      <c r="G18" s="8" t="n">
        <v>7</v>
      </c>
      <c r="H18" s="8" t="inlineStr">
        <is>
          <t>high</t>
        </is>
      </c>
      <c r="I18" s="10" t="n">
        <v>2800</v>
      </c>
      <c r="J18" s="10" t="n">
        <v>1100</v>
      </c>
      <c r="K18" s="10">
        <f>IF(D18&lt;&gt;"",D18*(1+$B$4),IF(E18&lt;&gt;"",E18,""))</f>
        <v/>
      </c>
      <c r="L18" s="10">
        <f>IF(J18&lt;&gt;"",J18*(1-$B$5)-$B$6,"")</f>
        <v/>
      </c>
      <c r="M18" s="10">
        <f>IF(AND(K18&lt;&gt;"",L18&lt;&gt;""),L18-K18,"")</f>
        <v/>
      </c>
      <c r="N18" s="11">
        <f>IFERROR(M18/K18,"")</f>
        <v/>
      </c>
      <c r="O18" s="8" t="inlineStr"/>
    </row>
    <row r="19">
      <c r="A19" s="8" t="inlineStr">
        <is>
          <t>Motorbikes</t>
        </is>
      </c>
      <c r="B19" s="8" t="inlineStr">
        <is>
          <t>Turners</t>
        </is>
      </c>
      <c r="C19" s="9" t="inlineStr">
        <is>
          <t>2022 Yamaha AG200</t>
        </is>
      </c>
      <c r="D19" s="10" t="n">
        <v>600</v>
      </c>
      <c r="E19" s="10" t="n"/>
      <c r="F19" s="8" t="inlineStr"/>
      <c r="G19" s="8" t="n">
        <v>3</v>
      </c>
      <c r="H19" s="8" t="inlineStr">
        <is>
          <t>low</t>
        </is>
      </c>
      <c r="I19" s="10" t="n">
        <v>2800</v>
      </c>
      <c r="J19" s="10" t="n">
        <v>400</v>
      </c>
      <c r="K19" s="10">
        <f>IF(D19&lt;&gt;"",D19*(1+$B$4),IF(E19&lt;&gt;"",E19,""))</f>
        <v/>
      </c>
      <c r="L19" s="10">
        <f>IF(J19&lt;&gt;"",J19*(1-$B$5)-$B$6,"")</f>
        <v/>
      </c>
      <c r="M19" s="10">
        <f>IF(AND(K19&lt;&gt;"",L19&lt;&gt;""),L19-K19,"")</f>
        <v/>
      </c>
      <c r="N19" s="11">
        <f>IFERROR(M19/K19,"")</f>
        <v/>
      </c>
      <c r="O19" s="8" t="inlineStr"/>
    </row>
    <row r="20">
      <c r="A20" s="8" t="inlineStr">
        <is>
          <t>Motorbikes</t>
        </is>
      </c>
      <c r="B20" s="8" t="inlineStr">
        <is>
          <t>Turners</t>
        </is>
      </c>
      <c r="C20" s="9" t="inlineStr">
        <is>
          <t>2022 Circa Yamaha AG200</t>
        </is>
      </c>
      <c r="D20" s="10" t="n">
        <v>600</v>
      </c>
      <c r="E20" s="10" t="n"/>
      <c r="F20" s="8" t="inlineStr"/>
      <c r="G20" s="8" t="n">
        <v>2</v>
      </c>
      <c r="H20" s="8" t="inlineStr">
        <is>
          <t>low</t>
        </is>
      </c>
      <c r="I20" s="10" t="n">
        <v>2800</v>
      </c>
      <c r="J20" s="10" t="n">
        <v>300</v>
      </c>
      <c r="K20" s="10">
        <f>IF(D20&lt;&gt;"",D20*(1+$B$4),IF(E20&lt;&gt;"",E20,""))</f>
        <v/>
      </c>
      <c r="L20" s="10">
        <f>IF(J20&lt;&gt;"",J20*(1-$B$5)-$B$6,"")</f>
        <v/>
      </c>
      <c r="M20" s="10">
        <f>IF(AND(K20&lt;&gt;"",L20&lt;&gt;""),L20-K20,"")</f>
        <v/>
      </c>
      <c r="N20" s="11">
        <f>IFERROR(M20/K20,"")</f>
        <v/>
      </c>
      <c r="O20" s="8" t="inlineStr"/>
    </row>
    <row r="21">
      <c r="A21" s="8" t="inlineStr">
        <is>
          <t>Trailers &amp; Caravans</t>
        </is>
      </c>
      <c r="B21" s="8" t="inlineStr">
        <is>
          <t>Turners</t>
        </is>
      </c>
      <c r="C21" s="9" t="inlineStr">
        <is>
          <t>2016 Mercedes-Benz Sprinter C/C 513 CDI 4325 L Motorhome</t>
        </is>
      </c>
      <c r="D21" s="10" t="n"/>
      <c r="E21" s="10" t="n"/>
      <c r="F21" s="8" t="inlineStr">
        <is>
          <t>Good Interior Condition Good Canopy Removable No JLoader Tracks No Tail Lift No Meatrails No Holding Tanks No Twistlock No Trailer Hydraulics No Fuel Diesel Engine Power 127 Engine Power Unit hp Transmission Automatic Chassis Number WDB9061552N649494 Wheel Base 4325 mm Front Axle Rating 1850 Rear Axle Rating 3500</t>
        </is>
      </c>
      <c r="G21" s="8" t="n">
        <v>6</v>
      </c>
      <c r="H21" s="8" t="inlineStr">
        <is>
          <t>low</t>
        </is>
      </c>
      <c r="I21" s="10" t="n">
        <v>85000</v>
      </c>
      <c r="J21" s="10" t="n">
        <v>42000</v>
      </c>
      <c r="K21" s="10">
        <f>IF(D21&lt;&gt;"",D21*(1+$B$4),IF(E21&lt;&gt;"",E21,""))</f>
        <v/>
      </c>
      <c r="L21" s="10">
        <f>IF(J21&lt;&gt;"",J21*(1-$B$5)-$B$6,"")</f>
        <v/>
      </c>
      <c r="M21" s="10">
        <f>IF(AND(K21&lt;&gt;"",L21&lt;&gt;""),L21-K21,"")</f>
        <v/>
      </c>
      <c r="N21" s="11">
        <f>IFERROR(M21/K21,"")</f>
        <v/>
      </c>
      <c r="O21" s="8" t="inlineStr"/>
    </row>
    <row r="22">
      <c r="A22" s="8" t="inlineStr">
        <is>
          <t>Trailers &amp; Caravans</t>
        </is>
      </c>
      <c r="B22" s="8" t="inlineStr">
        <is>
          <t>Turners</t>
        </is>
      </c>
      <c r="C22" s="9" t="inlineStr">
        <is>
          <t>2010 Mercedes-Benz Sprinter VAN 311 CDI 4235 L Motorhome</t>
        </is>
      </c>
      <c r="D22" s="10" t="n"/>
      <c r="E22" s="10" t="n"/>
      <c r="F22" s="8" t="inlineStr">
        <is>
          <t xml:space="preserve">Good Cab Condition Average Interior Condition Average Body Length 6900 mm Canopy Removable No JLoader Tracks No Tail Lift No Meatrails No Holding Tanks No Twistlock No Trailer Hydraulics No Mechanical Condition Average Fuel Diesel Engine Model 4cyl diesel Engine Power 107 Engine Power Unit hp Transmission Automatic - Tiptronic Transmission Make 5 spd auto Gears 5 Chassis Number WDB9066352S464475 Tyre Size Axle 1 235/65r16c Tyre Size Axle 2 235/65r6c Wheel Base 4325 mm Brake Type Back Disc Brake </t>
        </is>
      </c>
      <c r="G22" s="8" t="n">
        <v>4</v>
      </c>
      <c r="H22" s="8" t="inlineStr">
        <is>
          <t>low</t>
        </is>
      </c>
      <c r="I22" s="10" t="n">
        <v>75000</v>
      </c>
      <c r="J22" s="10" t="n">
        <v>28000</v>
      </c>
      <c r="K22" s="10">
        <f>IF(D22&lt;&gt;"",D22*(1+$B$4),IF(E22&lt;&gt;"",E22,""))</f>
        <v/>
      </c>
      <c r="L22" s="10">
        <f>IF(J22&lt;&gt;"",J22*(1-$B$5)-$B$6,"")</f>
        <v/>
      </c>
      <c r="M22" s="10">
        <f>IF(AND(K22&lt;&gt;"",L22&lt;&gt;""),L22-K22,"")</f>
        <v/>
      </c>
      <c r="N22" s="11">
        <f>IFERROR(M22/K22,"")</f>
        <v/>
      </c>
      <c r="O22"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2026-09-23T21:05:00Z</dcterms:created>
  <dcterms:modified xmlns:dcterms="http://purl.org/dc/terms/" xmlns:xsi="http://www.w3.org/2001/XMLSchema-instance" xsi:type="dcterms:W3CDTF">2026-09-23T21:05:00Z</dcterms:modified>
</cp:coreProperties>
</file>