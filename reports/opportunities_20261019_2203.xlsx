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other/21216009" TargetMode="External" Id="rId1"/><Relationship Type="http://schemas.openxmlformats.org/officeDocument/2006/relationships/hyperlink" Target="https://www.turners.co.nz/General-Goods/Search/computer/printers/28501946" TargetMode="External" Id="rId2"/><Relationship Type="http://schemas.openxmlformats.org/officeDocument/2006/relationships/hyperlink" Target="https://www.turners.co.nz/General-Goods/Search/sport--leisure/fishing-gear/21365998" TargetMode="External" Id="rId3"/><Relationship Type="http://schemas.openxmlformats.org/officeDocument/2006/relationships/hyperlink" Target="https://www.turners.co.nz/General-Goods/Search/house--garden/cleaning-equipment/28083326" TargetMode="External" Id="rId4"/><Relationship Type="http://schemas.openxmlformats.org/officeDocument/2006/relationships/hyperlink" Target="https://www.turners.co.nz/General-Goods/Search/house--garden/cleaning-equipment/28083272" TargetMode="External" Id="rId5"/><Relationship Type="http://schemas.openxmlformats.org/officeDocument/2006/relationships/hyperlink" Target="https://www.turners.co.nz/General-Goods/Search/house--garden/outdoor--garden-furniture/28541226" TargetMode="External" Id="rId6"/><Relationship Type="http://schemas.openxmlformats.org/officeDocument/2006/relationships/hyperlink" Target="https://www.turners.co.nz/General-Goods/Search/health--beauty/fragrances/28499097" TargetMode="External" Id="rId7"/><Relationship Type="http://schemas.openxmlformats.org/officeDocument/2006/relationships/hyperlink" Target="https://www.turners.co.nz/General-Goods/Search/health--beauty/fragrances/28499153" TargetMode="External" Id="rId8"/><Relationship Type="http://schemas.openxmlformats.org/officeDocument/2006/relationships/hyperlink" Target="https://www.turners.co.nz/General-Goods/Search/health--beauty/fragrances/28499130" TargetMode="External" Id="rId9"/><Relationship Type="http://schemas.openxmlformats.org/officeDocument/2006/relationships/hyperlink" Target="https://www.turners.co.nz/General-Goods/Search/automotive-goods/car-parts/22598421" TargetMode="External" Id="rId10"/><Relationship Type="http://schemas.openxmlformats.org/officeDocument/2006/relationships/hyperlink" Target="https://www.turners.co.nz/General-Goods/Search/automotive-goods/car-parts/22598409" TargetMode="External" Id="rId11"/><Relationship Type="http://schemas.openxmlformats.org/officeDocument/2006/relationships/hyperlink" Target="https://www.turners.co.nz/General-Goods/Search/automotive-goods/car-parts/22598413" TargetMode="External" Id="rId12"/><Relationship Type="http://schemas.openxmlformats.org/officeDocument/2006/relationships/hyperlink" Target="https://www.turners.co.nz/Trucks-Machinery/Used-Trucks-and-Machinery-for-Sale/vintage/smooth-drum/27520967" TargetMode="External" Id="rId13"/><Relationship Type="http://schemas.openxmlformats.org/officeDocument/2006/relationships/hyperlink" Target="https://www.turners.co.nz/Trucks-Machinery/Used-Trucks-and-Machinery-for-Sale/kea/trailer/2852137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Yamaha Sound Bar or Similar</t>
        </is>
      </c>
      <c r="D10" s="10" t="n">
        <v>1</v>
      </c>
      <c r="E10" s="10" t="n"/>
      <c r="F10" s="8" t="inlineStr">
        <is>
          <t>Tidy</t>
        </is>
      </c>
      <c r="G10" s="8" t="n">
        <v>7</v>
      </c>
      <c r="H10" s="8" t="inlineStr">
        <is>
          <t>medium</t>
        </is>
      </c>
      <c r="I10" s="10" t="n">
        <v>300</v>
      </c>
      <c r="J10" s="10" t="n">
        <v>120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No Reserve; Closes 25 Oct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HP DesignJet Z6100ps Printer</t>
        </is>
      </c>
      <c r="D11" s="10" t="n">
        <v>400</v>
      </c>
      <c r="E11" s="10" t="n"/>
      <c r="F11" s="8" t="inlineStr">
        <is>
          <t>Tidy</t>
        </is>
      </c>
      <c r="G11" s="8" t="n">
        <v>3</v>
      </c>
      <c r="H11" s="8" t="inlineStr">
        <is>
          <t>low</t>
        </is>
      </c>
      <c r="I11" s="10" t="n"/>
      <c r="J11" s="10" t="n">
        <v>250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unknown; Closes 26 Oct 26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Eclipse 12’0 surf fishing rod and jarvis wallar reel</t>
        </is>
      </c>
      <c r="D12" s="10" t="n">
        <v>10</v>
      </c>
      <c r="E12" s="10" t="n"/>
      <c r="F12" s="8" t="inlineStr">
        <is>
          <t>Excellent</t>
        </is>
      </c>
      <c r="G12" s="8" t="n">
        <v>9</v>
      </c>
      <c r="H12" s="8" t="inlineStr">
        <is>
          <t>high</t>
        </is>
      </c>
      <c r="I12" s="10" t="n">
        <v>180</v>
      </c>
      <c r="J12" s="10" t="n">
        <v>85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25 Oct 26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Sink Snake Drain Clog RemoverTool (12pce) &amp; Retailers Box *NEW*</t>
        </is>
      </c>
      <c r="D13" s="10" t="n">
        <v>12</v>
      </c>
      <c r="E13" s="10" t="n"/>
      <c r="F13" s="8" t="inlineStr">
        <is>
          <t>As New</t>
        </is>
      </c>
      <c r="G13" s="8" t="n">
        <v>8</v>
      </c>
      <c r="H13" s="8" t="inlineStr">
        <is>
          <t>high</t>
        </is>
      </c>
      <c r="I13" s="10" t="n">
        <v>30</v>
      </c>
      <c r="J13" s="10" t="n">
        <v>18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Reserve: No Reserve; Closes 25 Oct 26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Sink Snake Drain Clog RemoverTool (12pce) &amp; Retailers Box *NEW*</t>
        </is>
      </c>
      <c r="D14" s="10" t="n">
        <v>12</v>
      </c>
      <c r="E14" s="10" t="n"/>
      <c r="F14" s="8" t="inlineStr">
        <is>
          <t>As New</t>
        </is>
      </c>
      <c r="G14" s="8" t="n">
        <v>8</v>
      </c>
      <c r="H14" s="8" t="inlineStr">
        <is>
          <t>high</t>
        </is>
      </c>
      <c r="I14" s="10" t="n">
        <v>30</v>
      </c>
      <c r="J14" s="10" t="n">
        <v>18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Reserve: No Reserve; Closes 25 Oct 26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Buschbeck - 3-in-1 Outdoor Fireplace Kitset *NEW* (Incomplete - Set #9)</t>
        </is>
      </c>
      <c r="D15" s="10" t="n">
        <v>1</v>
      </c>
      <c r="E15" s="10" t="n"/>
      <c r="F15" s="8" t="inlineStr">
        <is>
          <t>New</t>
        </is>
      </c>
      <c r="G15" s="8" t="n">
        <v>8</v>
      </c>
      <c r="H15" s="8" t="inlineStr">
        <is>
          <t>low</t>
        </is>
      </c>
      <c r="I15" s="10" t="n">
        <v>2500</v>
      </c>
      <c r="J15" s="10" t="n">
        <v>350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Reserve: No Reserve; Closes 25 Oct 26</t>
        </is>
      </c>
    </row>
    <row r="16">
      <c r="A16" s="8" t="inlineStr">
        <is>
          <t>Health &amp; Beauty</t>
        </is>
      </c>
      <c r="B16" s="8" t="inlineStr">
        <is>
          <t>Turners</t>
        </is>
      </c>
      <c r="C16" s="9" t="inlineStr">
        <is>
          <t>Bulk Lot - Bradfield Infused Multi-Use Fragrance Sachets (50pce) - Mixed</t>
        </is>
      </c>
      <c r="D16" s="10" t="n">
        <v>100</v>
      </c>
      <c r="E16" s="10" t="n"/>
      <c r="F16" s="8" t="inlineStr">
        <is>
          <t>New</t>
        </is>
      </c>
      <c r="G16" s="8" t="n">
        <v>7</v>
      </c>
      <c r="H16" s="8" t="inlineStr">
        <is>
          <t>low</t>
        </is>
      </c>
      <c r="I16" s="10" t="n">
        <v>150</v>
      </c>
      <c r="J16" s="10" t="n">
        <v>85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Reserve: No Reserve; Closes 25 Oct 26</t>
        </is>
      </c>
    </row>
    <row r="17">
      <c r="A17" s="8" t="inlineStr">
        <is>
          <t>Health &amp; Beauty</t>
        </is>
      </c>
      <c r="B17" s="8" t="inlineStr">
        <is>
          <t>Turners</t>
        </is>
      </c>
      <c r="C17" s="9" t="inlineStr">
        <is>
          <t>Bulk Lot - Bradfield Infused Multi-Use Fragrance Sachets (50pce) - Mixed</t>
        </is>
      </c>
      <c r="D17" s="10" t="n">
        <v>100</v>
      </c>
      <c r="E17" s="10" t="n"/>
      <c r="F17" s="8" t="inlineStr">
        <is>
          <t>New</t>
        </is>
      </c>
      <c r="G17" s="8" t="n">
        <v>7</v>
      </c>
      <c r="H17" s="8" t="inlineStr">
        <is>
          <t>low</t>
        </is>
      </c>
      <c r="I17" s="10" t="n">
        <v>150</v>
      </c>
      <c r="J17" s="10" t="n">
        <v>85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Reserve: No Reserve; Closes 25 Oct 26</t>
        </is>
      </c>
    </row>
    <row r="18">
      <c r="A18" s="8" t="inlineStr">
        <is>
          <t>Health &amp; Beauty</t>
        </is>
      </c>
      <c r="B18" s="8" t="inlineStr">
        <is>
          <t>Turners</t>
        </is>
      </c>
      <c r="C18" s="9" t="inlineStr">
        <is>
          <t>Bulk Lot - Bradfield Infused Multi-Use Fragrance Sachets (50pce) - Mixed</t>
        </is>
      </c>
      <c r="D18" s="10" t="n">
        <v>100</v>
      </c>
      <c r="E18" s="10" t="n"/>
      <c r="F18" s="8" t="inlineStr">
        <is>
          <t>New</t>
        </is>
      </c>
      <c r="G18" s="8" t="n">
        <v>7</v>
      </c>
      <c r="H18" s="8" t="inlineStr">
        <is>
          <t>low</t>
        </is>
      </c>
      <c r="I18" s="10" t="n">
        <v>150</v>
      </c>
      <c r="J18" s="10" t="n">
        <v>85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Reserve: No Reserve; Closes 25 Oct 26</t>
        </is>
      </c>
    </row>
    <row r="19">
      <c r="A19" s="8" t="inlineStr">
        <is>
          <t>Automotive Parts</t>
        </is>
      </c>
      <c r="B19" s="8" t="inlineStr">
        <is>
          <t>Turners</t>
        </is>
      </c>
      <c r="C19" s="9" t="inlineStr">
        <is>
          <t>Fire Extinguisher</t>
        </is>
      </c>
      <c r="D19" s="10" t="n">
        <v>1</v>
      </c>
      <c r="E19" s="10" t="n"/>
      <c r="F19" s="8" t="inlineStr">
        <is>
          <t>As New</t>
        </is>
      </c>
      <c r="G19" s="8" t="n">
        <v>9</v>
      </c>
      <c r="H19" s="8" t="inlineStr">
        <is>
          <t>high</t>
        </is>
      </c>
      <c r="I19" s="10" t="n">
        <v>100</v>
      </c>
      <c r="J19" s="10" t="n">
        <v>60</v>
      </c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>
        <is>
          <t>Reserve: No Reserve; Closes 25 Oct 26</t>
        </is>
      </c>
    </row>
    <row r="20">
      <c r="A20" s="8" t="inlineStr">
        <is>
          <t>Automotive Parts</t>
        </is>
      </c>
      <c r="B20" s="8" t="inlineStr">
        <is>
          <t>Turners</t>
        </is>
      </c>
      <c r="C20" s="9" t="inlineStr">
        <is>
          <t>Fire Extinguisher</t>
        </is>
      </c>
      <c r="D20" s="10" t="n">
        <v>1</v>
      </c>
      <c r="E20" s="10" t="n"/>
      <c r="F20" s="8" t="inlineStr">
        <is>
          <t>As New</t>
        </is>
      </c>
      <c r="G20" s="8" t="n">
        <v>9</v>
      </c>
      <c r="H20" s="8" t="inlineStr">
        <is>
          <t>high</t>
        </is>
      </c>
      <c r="I20" s="10" t="n">
        <v>100</v>
      </c>
      <c r="J20" s="10" t="n">
        <v>60</v>
      </c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>
        <is>
          <t>Reserve: Reserve Met; Closes 25 Oct 26</t>
        </is>
      </c>
    </row>
    <row r="21">
      <c r="A21" s="8" t="inlineStr">
        <is>
          <t>Automotive Parts</t>
        </is>
      </c>
      <c r="B21" s="8" t="inlineStr">
        <is>
          <t>Turners</t>
        </is>
      </c>
      <c r="C21" s="9" t="inlineStr">
        <is>
          <t>Fire Extinguisher</t>
        </is>
      </c>
      <c r="D21" s="10" t="n">
        <v>1</v>
      </c>
      <c r="E21" s="10" t="n"/>
      <c r="F21" s="8" t="inlineStr">
        <is>
          <t>As New</t>
        </is>
      </c>
      <c r="G21" s="8" t="n">
        <v>9</v>
      </c>
      <c r="H21" s="8" t="inlineStr">
        <is>
          <t>high</t>
        </is>
      </c>
      <c r="I21" s="10" t="n">
        <v>100</v>
      </c>
      <c r="J21" s="10" t="n">
        <v>60</v>
      </c>
      <c r="K21" s="10">
        <f>IF(D21&lt;&gt;"",D21*(1+$B$4),IF(E21&lt;&gt;"",E21,""))</f>
        <v/>
      </c>
      <c r="L21" s="10">
        <f>IF(J21&lt;&gt;"",J21*(1-$B$5)-$B$6,"")</f>
        <v/>
      </c>
      <c r="M21" s="10">
        <f>IF(AND(K21&lt;&gt;"",L21&lt;&gt;""),L21-K21,"")</f>
        <v/>
      </c>
      <c r="N21" s="11">
        <f>IFERROR(M21/K21,"")</f>
        <v/>
      </c>
      <c r="O21" s="8" t="inlineStr">
        <is>
          <t>Reserve: Reserve Met; Closes 25 Oct 26</t>
        </is>
      </c>
    </row>
    <row r="22">
      <c r="A22" s="8" t="inlineStr">
        <is>
          <t>Trucks &amp; Machinery</t>
        </is>
      </c>
      <c r="B22" s="8" t="inlineStr">
        <is>
          <t>Turners</t>
        </is>
      </c>
      <c r="C22" s="9" t="inlineStr">
        <is>
          <t>1970 Vintage Smooth Drum Roller</t>
        </is>
      </c>
      <c r="D22" s="10" t="n">
        <v>310</v>
      </c>
      <c r="E22" s="10" t="n"/>
      <c r="F22" s="8" t="inlineStr">
        <is>
          <t>Average Colour Green</t>
        </is>
      </c>
      <c r="G22" s="8" t="n">
        <v>7</v>
      </c>
      <c r="H22" s="8" t="inlineStr">
        <is>
          <t>low</t>
        </is>
      </c>
      <c r="I22" s="10" t="n"/>
      <c r="J22" s="10" t="n">
        <v>400</v>
      </c>
      <c r="K22" s="10">
        <f>IF(D22&lt;&gt;"",D22*(1+$B$4),IF(E22&lt;&gt;"",E22,""))</f>
        <v/>
      </c>
      <c r="L22" s="10">
        <f>IF(J22&lt;&gt;"",J22*(1-$B$5)-$B$6,"")</f>
        <v/>
      </c>
      <c r="M22" s="10">
        <f>IF(AND(K22&lt;&gt;"",L22&lt;&gt;""),L22-K22,"")</f>
        <v/>
      </c>
      <c r="N22" s="11">
        <f>IFERROR(M22/K22,"")</f>
        <v/>
      </c>
      <c r="O22" s="8" t="inlineStr">
        <is>
          <t>No comparable item found this run -- standalone assessment only</t>
        </is>
      </c>
    </row>
    <row r="23">
      <c r="A23" s="8" t="inlineStr">
        <is>
          <t>Trucks &amp; Machinery</t>
        </is>
      </c>
      <c r="B23" s="8" t="inlineStr">
        <is>
          <t>Turners</t>
        </is>
      </c>
      <c r="C23" s="9" t="inlineStr">
        <is>
          <t>2010 Kea Trailer Tipping - Single</t>
        </is>
      </c>
      <c r="D23" s="10" t="n">
        <v>450</v>
      </c>
      <c r="E23" s="10" t="n"/>
      <c r="F23" s="8" t="inlineStr">
        <is>
          <t>Average Colour Silver</t>
        </is>
      </c>
      <c r="G23" s="8" t="n">
        <v>6</v>
      </c>
      <c r="H23" s="8" t="inlineStr">
        <is>
          <t>medium</t>
        </is>
      </c>
      <c r="I23" s="10" t="n">
        <v>3500</v>
      </c>
      <c r="J23" s="10" t="n">
        <v>800</v>
      </c>
      <c r="K23" s="10">
        <f>IF(D23&lt;&gt;"",D23*(1+$B$4),IF(E23&lt;&gt;"",E23,""))</f>
        <v/>
      </c>
      <c r="L23" s="10">
        <f>IF(J23&lt;&gt;"",J23*(1-$B$5)-$B$6,"")</f>
        <v/>
      </c>
      <c r="M23" s="10">
        <f>IF(AND(K23&lt;&gt;"",L23&lt;&gt;""),L23-K23,"")</f>
        <v/>
      </c>
      <c r="N23" s="11">
        <f>IFERROR(M23/K23,"")</f>
        <v/>
      </c>
      <c r="O23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2" r:id="rId13"/>
    <hyperlink xmlns:r="http://schemas.openxmlformats.org/officeDocument/2006/relationships" ref="C23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2026-10-19T22:03:06Z</dcterms:created>
  <dcterms:modified xmlns:dcterms="http://purl.org/dc/terms/" xmlns:xsi="http://www.w3.org/2001/XMLSchema-instance" xsi:type="dcterms:W3CDTF">2026-10-19T22:03:06Z</dcterms:modified>
</cp:coreProperties>
</file>