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computer/peripherals/28439801" TargetMode="External" Id="rId1"/><Relationship Type="http://schemas.openxmlformats.org/officeDocument/2006/relationships/hyperlink" Target="https://www.turners.co.nz/General-Goods/Search/electronics/other/21462460" TargetMode="External" Id="rId2"/><Relationship Type="http://schemas.openxmlformats.org/officeDocument/2006/relationships/hyperlink" Target="https://www.turners.co.nz/General-Goods/Search/house--garden/sheds--garages--accessories/21367182" TargetMode="External" Id="rId3"/><Relationship Type="http://schemas.openxmlformats.org/officeDocument/2006/relationships/hyperlink" Target="https://www.turners.co.nz/General-Goods/Search/house--garden/sheds--garages--accessories/21217063" TargetMode="External" Id="rId4"/><Relationship Type="http://schemas.openxmlformats.org/officeDocument/2006/relationships/hyperlink" Target="https://www.turners.co.nz/General-Goods/Search/automotive-goods/other/21216803" TargetMode="External" Id="rId5"/><Relationship Type="http://schemas.openxmlformats.org/officeDocument/2006/relationships/hyperlink" Target="https://www.turners.co.nz/General-Goods/Search/automotive-goods/other/21217333" TargetMode="External" Id="rId6"/><Relationship Type="http://schemas.openxmlformats.org/officeDocument/2006/relationships/hyperlink" Target="https://www.turners.co.nz/motorcycles-scooters/Used-Motorbikes-for-Sale/segway/fugleman-ut10r/28165209" TargetMode="External" Id="rId7"/><Relationship Type="http://schemas.openxmlformats.org/officeDocument/2006/relationships/hyperlink" Target="https://www.turners.co.nz/motorcycles-scooters/Used-Motorbikes-for-Sale/segway/fugleman-ut10/28165655" TargetMode="External" Id="rId8"/><Relationship Type="http://schemas.openxmlformats.org/officeDocument/2006/relationships/hyperlink" Target="https://www.turners.co.nz/motorcycles-scooters/Used-Motorbikes-for-Sale/can-am/defender-limited/28447228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Keyboard</t>
        </is>
      </c>
      <c r="D10" s="10" t="n">
        <v>1</v>
      </c>
      <c r="E10" s="10" t="n"/>
      <c r="F10" s="8" t="inlineStr">
        <is>
          <t>Tidy</t>
        </is>
      </c>
      <c r="G10" s="8" t="n">
        <v>3</v>
      </c>
      <c r="H10" s="8" t="inlineStr">
        <is>
          <t>medium</t>
        </is>
      </c>
      <c r="I10" s="10" t="n">
        <v>40</v>
      </c>
      <c r="J10" s="10" t="n">
        <v>20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No Reserve; Closes 16 Sep 26</t>
        </is>
      </c>
    </row>
    <row r="11">
      <c r="A11" s="8" t="inlineStr">
        <is>
          <t>Electronics &amp; Tech</t>
        </is>
      </c>
      <c r="B11" s="8" t="inlineStr">
        <is>
          <t>Turners</t>
        </is>
      </c>
      <c r="C11" s="9" t="inlineStr">
        <is>
          <t>Mixed Batteries</t>
        </is>
      </c>
      <c r="D11" s="10" t="n">
        <v>1</v>
      </c>
      <c r="E11" s="10" t="n"/>
      <c r="F11" s="8" t="inlineStr">
        <is>
          <t>Unknown</t>
        </is>
      </c>
      <c r="G11" s="8" t="n">
        <v>2</v>
      </c>
      <c r="H11" s="8" t="inlineStr">
        <is>
          <t>low</t>
        </is>
      </c>
      <c r="I11" s="10" t="n"/>
      <c r="J11" s="10" t="n"/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Reserve Met; Closes 16 Sep 26</t>
        </is>
      </c>
    </row>
    <row r="12">
      <c r="A12" s="8" t="inlineStr">
        <is>
          <t>House &amp; Garden</t>
        </is>
      </c>
      <c r="B12" s="8" t="inlineStr">
        <is>
          <t>Turners</t>
        </is>
      </c>
      <c r="C12" s="9" t="inlineStr">
        <is>
          <t>Garage Items Etc - Strop or Similar, Wattyl Enamel White Gloss Etc</t>
        </is>
      </c>
      <c r="D12" s="10" t="n">
        <v>11</v>
      </c>
      <c r="E12" s="10" t="n"/>
      <c r="F12" s="8" t="inlineStr">
        <is>
          <t>Tidy</t>
        </is>
      </c>
      <c r="G12" s="8" t="n">
        <v>8</v>
      </c>
      <c r="H12" s="8" t="inlineStr">
        <is>
          <t>medium</t>
        </is>
      </c>
      <c r="I12" s="10" t="n">
        <v>80</v>
      </c>
      <c r="J12" s="10" t="n">
        <v>20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No comparable item found this run -- standalone assessment only; Reserve: Reserve Met; Closes unknown</t>
        </is>
      </c>
    </row>
    <row r="13">
      <c r="A13" s="8" t="inlineStr">
        <is>
          <t>House &amp; Garden</t>
        </is>
      </c>
      <c r="B13" s="8" t="inlineStr">
        <is>
          <t>Turners</t>
        </is>
      </c>
      <c r="C13" s="9" t="inlineStr">
        <is>
          <t>Garage Items Etc - Automatic Transmission Fluid Etc</t>
        </is>
      </c>
      <c r="D13" s="10" t="n">
        <v>11</v>
      </c>
      <c r="E13" s="10" t="n"/>
      <c r="F13" s="8" t="inlineStr">
        <is>
          <t>Tidy</t>
        </is>
      </c>
      <c r="G13" s="8" t="n">
        <v>2</v>
      </c>
      <c r="H13" s="8" t="inlineStr">
        <is>
          <t>low</t>
        </is>
      </c>
      <c r="I13" s="10" t="n">
        <v>80</v>
      </c>
      <c r="J13" s="10" t="n"/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No comparable item found this run -- standalone assessment only; Reserve: Reserve Met; Closes unknown</t>
        </is>
      </c>
    </row>
    <row r="14">
      <c r="A14" s="8" t="inlineStr">
        <is>
          <t>Automotive Parts</t>
        </is>
      </c>
      <c r="B14" s="8" t="inlineStr">
        <is>
          <t>Turners</t>
        </is>
      </c>
      <c r="C14" s="9" t="inlineStr">
        <is>
          <t>3x Motorcycle Parts - Lever Brakes or Similar</t>
        </is>
      </c>
      <c r="D14" s="10" t="n">
        <v>10</v>
      </c>
      <c r="E14" s="10" t="n"/>
      <c r="F14" s="8" t="inlineStr">
        <is>
          <t>Excellent</t>
        </is>
      </c>
      <c r="G14" s="8" t="n">
        <v>8</v>
      </c>
      <c r="H14" s="8" t="inlineStr">
        <is>
          <t>medium</t>
        </is>
      </c>
      <c r="I14" s="10" t="n">
        <v>60</v>
      </c>
      <c r="J14" s="10" t="n">
        <v>35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>
        <is>
          <t>No comparable item found this run -- standalone assessment only; Reserve: Reserve Met; Closes unknown</t>
        </is>
      </c>
    </row>
    <row r="15">
      <c r="A15" s="8" t="inlineStr">
        <is>
          <t>Automotive Parts</t>
        </is>
      </c>
      <c r="B15" s="8" t="inlineStr">
        <is>
          <t>Turners</t>
        </is>
      </c>
      <c r="C15" s="9" t="inlineStr">
        <is>
          <t>Strops or Similar</t>
        </is>
      </c>
      <c r="D15" s="10" t="n">
        <v>11</v>
      </c>
      <c r="E15" s="10" t="n"/>
      <c r="F15" s="8" t="inlineStr">
        <is>
          <t>Average</t>
        </is>
      </c>
      <c r="G15" s="8" t="n">
        <v>5</v>
      </c>
      <c r="H15" s="8" t="inlineStr">
        <is>
          <t>low</t>
        </is>
      </c>
      <c r="I15" s="10" t="n">
        <v>30</v>
      </c>
      <c r="J15" s="10" t="n">
        <v>15</v>
      </c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>
        <is>
          <t>No comparable item found this run -- standalone assessment only; Reserve: Reserve Met; Closes unknown</t>
        </is>
      </c>
    </row>
    <row r="16">
      <c r="A16" s="8" t="inlineStr">
        <is>
          <t>Motorbikes</t>
        </is>
      </c>
      <c r="B16" s="8" t="inlineStr">
        <is>
          <t>Turners</t>
        </is>
      </c>
      <c r="C16" s="9" t="inlineStr">
        <is>
          <t>2023 Segway Fugleman UT10R</t>
        </is>
      </c>
      <c r="D16" s="10" t="n"/>
      <c r="E16" s="10" t="n"/>
      <c r="F16" s="8" t="inlineStr"/>
      <c r="G16" s="8" t="n">
        <v>6</v>
      </c>
      <c r="H16" s="8" t="inlineStr">
        <is>
          <t>low</t>
        </is>
      </c>
      <c r="I16" s="10" t="n">
        <v>45000</v>
      </c>
      <c r="J16" s="10" t="n">
        <v>38000</v>
      </c>
      <c r="K16" s="10">
        <f>IF(D16&lt;&gt;"",D16*(1+$B$4),IF(E16&lt;&gt;"",E16,""))</f>
        <v/>
      </c>
      <c r="L16" s="10">
        <f>IF(J16&lt;&gt;"",J16*(1-$B$5)-$B$6,"")</f>
        <v/>
      </c>
      <c r="M16" s="10">
        <f>IF(AND(K16&lt;&gt;"",L16&lt;&gt;""),L16-K16,"")</f>
        <v/>
      </c>
      <c r="N16" s="11">
        <f>IFERROR(M16/K16,"")</f>
        <v/>
      </c>
      <c r="O16" s="8" t="inlineStr"/>
    </row>
    <row r="17">
      <c r="A17" s="8" t="inlineStr">
        <is>
          <t>Motorbikes</t>
        </is>
      </c>
      <c r="B17" s="8" t="inlineStr">
        <is>
          <t>Turners</t>
        </is>
      </c>
      <c r="C17" s="9" t="inlineStr">
        <is>
          <t>2023 Segway Fugleman UT10 UT10</t>
        </is>
      </c>
      <c r="D17" s="10" t="n"/>
      <c r="E17" s="10" t="n"/>
      <c r="F17" s="8" t="inlineStr"/>
      <c r="G17" s="8" t="n">
        <v>5</v>
      </c>
      <c r="H17" s="8" t="inlineStr">
        <is>
          <t>low</t>
        </is>
      </c>
      <c r="I17" s="10" t="n">
        <v>42000</v>
      </c>
      <c r="J17" s="10" t="n">
        <v>35000</v>
      </c>
      <c r="K17" s="10">
        <f>IF(D17&lt;&gt;"",D17*(1+$B$4),IF(E17&lt;&gt;"",E17,""))</f>
        <v/>
      </c>
      <c r="L17" s="10">
        <f>IF(J17&lt;&gt;"",J17*(1-$B$5)-$B$6,"")</f>
        <v/>
      </c>
      <c r="M17" s="10">
        <f>IF(AND(K17&lt;&gt;"",L17&lt;&gt;""),L17-K17,"")</f>
        <v/>
      </c>
      <c r="N17" s="11">
        <f>IFERROR(M17/K17,"")</f>
        <v/>
      </c>
      <c r="O17" s="8" t="inlineStr"/>
    </row>
    <row r="18">
      <c r="A18" s="8" t="inlineStr">
        <is>
          <t>Motorbikes</t>
        </is>
      </c>
      <c r="B18" s="8" t="inlineStr">
        <is>
          <t>Turners</t>
        </is>
      </c>
      <c r="C18" s="9" t="inlineStr">
        <is>
          <t>2021 Can Am Defender Limited</t>
        </is>
      </c>
      <c r="D18" s="10" t="n"/>
      <c r="E18" s="10" t="n"/>
      <c r="F18" s="8" t="inlineStr"/>
      <c r="G18" s="8" t="n">
        <v>4</v>
      </c>
      <c r="H18" s="8" t="inlineStr">
        <is>
          <t>medium</t>
        </is>
      </c>
      <c r="I18" s="10" t="n">
        <v>28000</v>
      </c>
      <c r="J18" s="10" t="n">
        <v>15000</v>
      </c>
      <c r="K18" s="10">
        <f>IF(D18&lt;&gt;"",D18*(1+$B$4),IF(E18&lt;&gt;"",E18,""))</f>
        <v/>
      </c>
      <c r="L18" s="10">
        <f>IF(J18&lt;&gt;"",J18*(1-$B$5)-$B$6,"")</f>
        <v/>
      </c>
      <c r="M18" s="10">
        <f>IF(AND(K18&lt;&gt;"",L18&lt;&gt;""),L18-K18,"")</f>
        <v/>
      </c>
      <c r="N18" s="11">
        <f>IFERROR(M18/K18,"")</f>
        <v/>
      </c>
      <c r="O18" s="8" t="inlineStr"/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6" r:id="rId7"/>
    <hyperlink xmlns:r="http://schemas.openxmlformats.org/officeDocument/2006/relationships" ref="C17" r:id="rId8"/>
    <hyperlink xmlns:r="http://schemas.openxmlformats.org/officeDocument/2006/relationships" ref="C18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2026-09-10T20:26:04Z</dcterms:created>
  <dcterms:modified xmlns:dcterms="http://purl.org/dc/terms/" xmlns:xsi="http://www.w3.org/2001/XMLSchema-instance" xsi:type="dcterms:W3CDTF">2026-09-10T20:26:04Z</dcterms:modified>
</cp:coreProperties>
</file>