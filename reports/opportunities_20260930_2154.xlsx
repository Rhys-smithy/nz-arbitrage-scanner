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computer/monitors/25315234" TargetMode="External" Id="rId1"/><Relationship Type="http://schemas.openxmlformats.org/officeDocument/2006/relationships/hyperlink" Target="https://www.turners.co.nz/General-Goods/Search/electronics/radio-equipment/25432688" TargetMode="External" Id="rId2"/><Relationship Type="http://schemas.openxmlformats.org/officeDocument/2006/relationships/hyperlink" Target="https://www.turners.co.nz/General-Goods/Search/jewellery/rings/25301001" TargetMode="External" Id="rId3"/><Relationship Type="http://schemas.openxmlformats.org/officeDocument/2006/relationships/hyperlink" Target="https://www.turners.co.nz/General-Goods/Search/jewellery/rings/25300966" TargetMode="External" Id="rId4"/><Relationship Type="http://schemas.openxmlformats.org/officeDocument/2006/relationships/hyperlink" Target="https://www.turners.co.nz/General-Goods/Search/jewellery/rings/25300997" TargetMode="External" Id="rId5"/><Relationship Type="http://schemas.openxmlformats.org/officeDocument/2006/relationships/hyperlink" Target="https://www.turners.co.nz/General-Goods/Search/house--garden/bathroom/28429933" TargetMode="External" Id="rId6"/><Relationship Type="http://schemas.openxmlformats.org/officeDocument/2006/relationships/hyperlink" Target="https://www.turners.co.nz/General-Goods/Search/house--garden/bathroom/28448459" TargetMode="External" Id="rId7"/><Relationship Type="http://schemas.openxmlformats.org/officeDocument/2006/relationships/hyperlink" Target="https://www.turners.co.nz/General-Goods/Search/automotive-goods/car-parts/28476067" TargetMode="External" Id="rId8"/><Relationship Type="http://schemas.openxmlformats.org/officeDocument/2006/relationships/hyperlink" Target="https://www.turners.co.nz/Trucks-Machinery/Used-Trucks-and-Machinery-for-Sale/trailer/voyager/28392142" TargetMode="External" Id="rId9"/><Relationship Type="http://schemas.openxmlformats.org/officeDocument/2006/relationships/hyperlink" Target="https://www.turners.co.nz/Trucks-Machinery/Used-Trucks-and-Machinery-for-Sale/kea/k64sw/28391096" TargetMode="External" Id="rId10"/><Relationship Type="http://schemas.openxmlformats.org/officeDocument/2006/relationships/hyperlink" Target="https://www.turners.co.nz/motorcycles-scooters/Used-Motorbikes-for-Sale/yamaha/ag200/25432563" TargetMode="External" Id="rId11"/><Relationship Type="http://schemas.openxmlformats.org/officeDocument/2006/relationships/hyperlink" Target="https://www.turners.co.nz/buses-caravans/Used-Caravans-and-Motorhomes-for-Sale/senator/louisana/28376551" TargetMode="External" Id="rId12"/><Relationship Type="http://schemas.openxmlformats.org/officeDocument/2006/relationships/hyperlink" Target="https://www.turners.co.nz/buses-caravans/Used-Caravans-and-Motorhomes-for-Sale/conqueror/6005/28202391" TargetMode="External" Id="rId13"/></Relationships>
</file>

<file path=xl/worksheets/sheet1.xml><?xml version="1.0" encoding="utf-8"?>
<worksheet xmlns="http://schemas.openxmlformats.org/spreadsheetml/2006/main">
  <sheetPr>
    <outlinePr summaryBelow="1" summaryRight="1"/>
    <pageSetUpPr/>
  </sheetPr>
  <dimension ref="A1:O22"/>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Philips Monitor 100-240V / 50-60Hz</t>
        </is>
      </c>
      <c r="D10" s="10" t="n">
        <v>1</v>
      </c>
      <c r="E10" s="10" t="n"/>
      <c r="F10" s="8" t="inlineStr">
        <is>
          <t>Average</t>
        </is>
      </c>
      <c r="G10" s="8" t="n">
        <v>9</v>
      </c>
      <c r="H10" s="8" t="inlineStr">
        <is>
          <t>high</t>
        </is>
      </c>
      <c r="I10" s="10" t="n">
        <v>500</v>
      </c>
      <c r="J10" s="10" t="n">
        <v>250</v>
      </c>
      <c r="K10" s="10">
        <f>IF(D10&lt;&gt;"",D10*(1+$B$4),IF(E10&lt;&gt;"",E10,""))</f>
        <v/>
      </c>
      <c r="L10" s="10">
        <f>IF(J10&lt;&gt;"",J10*(1-$B$5)-$B$6,"")</f>
        <v/>
      </c>
      <c r="M10" s="10">
        <f>IF(AND(K10&lt;&gt;"",L10&lt;&gt;""),L10-K10,"")</f>
        <v/>
      </c>
      <c r="N10" s="11">
        <f>IFERROR(M10/K10,"")</f>
        <v/>
      </c>
      <c r="O10" s="8" t="inlineStr">
        <is>
          <t>No comparable item found this run -- standalone assessment only; Reserve: Reserve Met; Closes 7 Oct 26</t>
        </is>
      </c>
    </row>
    <row r="11">
      <c r="A11" s="8" t="inlineStr">
        <is>
          <t>Electronics &amp; Tech</t>
        </is>
      </c>
      <c r="B11" s="8" t="inlineStr">
        <is>
          <t>Turners</t>
        </is>
      </c>
      <c r="C11" s="9" t="inlineStr">
        <is>
          <t>Milwaukee Radio (Corded)</t>
        </is>
      </c>
      <c r="D11" s="10" t="n">
        <v>16</v>
      </c>
      <c r="E11" s="10" t="n"/>
      <c r="F11" s="8" t="inlineStr">
        <is>
          <t>Unknown</t>
        </is>
      </c>
      <c r="G11" s="8" t="n">
        <v>2</v>
      </c>
      <c r="H11" s="8" t="inlineStr">
        <is>
          <t>low</t>
        </is>
      </c>
      <c r="I11" s="10" t="n">
        <v>120</v>
      </c>
      <c r="J11" s="10" t="n">
        <v>25</v>
      </c>
      <c r="K11" s="10">
        <f>IF(D11&lt;&gt;"",D11*(1+$B$4),IF(E11&lt;&gt;"",E11,""))</f>
        <v/>
      </c>
      <c r="L11" s="10">
        <f>IF(J11&lt;&gt;"",J11*(1-$B$5)-$B$6,"")</f>
        <v/>
      </c>
      <c r="M11" s="10">
        <f>IF(AND(K11&lt;&gt;"",L11&lt;&gt;""),L11-K11,"")</f>
        <v/>
      </c>
      <c r="N11" s="11">
        <f>IFERROR(M11/K11,"")</f>
        <v/>
      </c>
      <c r="O11" s="8" t="inlineStr">
        <is>
          <t>No comparable item found this run -- standalone assessment only; Reserve: Reserve Met; Closes 5 Oct 26</t>
        </is>
      </c>
    </row>
    <row r="12">
      <c r="A12" s="8" t="inlineStr">
        <is>
          <t>Jewellery &amp; Watches</t>
        </is>
      </c>
      <c r="B12" s="8" t="inlineStr">
        <is>
          <t>Turners</t>
        </is>
      </c>
      <c r="C12" s="9" t="inlineStr">
        <is>
          <t>Gold Coloured Band - Stamped 9CT H27</t>
        </is>
      </c>
      <c r="D12" s="10" t="n"/>
      <c r="E12" s="10" t="n"/>
      <c r="F12" s="8" t="inlineStr">
        <is>
          <t>Very Tidy</t>
        </is>
      </c>
      <c r="G12" s="8" t="n">
        <v>7</v>
      </c>
      <c r="H12" s="8" t="inlineStr">
        <is>
          <t>high</t>
        </is>
      </c>
      <c r="I12" s="10" t="n"/>
      <c r="J12" s="10" t="n">
        <v>110</v>
      </c>
      <c r="K12" s="10">
        <f>IF(D12&lt;&gt;"",D12*(1+$B$4),IF(E12&lt;&gt;"",E12,""))</f>
        <v/>
      </c>
      <c r="L12" s="10">
        <f>IF(J12&lt;&gt;"",J12*(1-$B$5)-$B$6,"")</f>
        <v/>
      </c>
      <c r="M12" s="10">
        <f>IF(AND(K12&lt;&gt;"",L12&lt;&gt;""),L12-K12,"")</f>
        <v/>
      </c>
      <c r="N12" s="11">
        <f>IFERROR(M12/K12,"")</f>
        <v/>
      </c>
      <c r="O12" s="8" t="inlineStr"/>
    </row>
    <row r="13">
      <c r="A13" s="8" t="inlineStr">
        <is>
          <t>Jewellery &amp; Watches</t>
        </is>
      </c>
      <c r="B13" s="8" t="inlineStr">
        <is>
          <t>Turners</t>
        </is>
      </c>
      <c r="C13" s="9" t="inlineStr">
        <is>
          <t>Gold Coloured Band</t>
        </is>
      </c>
      <c r="D13" s="10" t="n"/>
      <c r="E13" s="10" t="n"/>
      <c r="F13" s="8" t="inlineStr">
        <is>
          <t>Very Tidy</t>
        </is>
      </c>
      <c r="G13" s="8" t="n">
        <v>6</v>
      </c>
      <c r="H13" s="8" t="inlineStr">
        <is>
          <t>high</t>
        </is>
      </c>
      <c r="I13" s="10" t="n"/>
      <c r="J13" s="10" t="n">
        <v>280</v>
      </c>
      <c r="K13" s="10">
        <f>IF(D13&lt;&gt;"",D13*(1+$B$4),IF(E13&lt;&gt;"",E13,""))</f>
        <v/>
      </c>
      <c r="L13" s="10">
        <f>IF(J13&lt;&gt;"",J13*(1-$B$5)-$B$6,"")</f>
        <v/>
      </c>
      <c r="M13" s="10">
        <f>IF(AND(K13&lt;&gt;"",L13&lt;&gt;""),L13-K13,"")</f>
        <v/>
      </c>
      <c r="N13" s="11">
        <f>IFERROR(M13/K13,"")</f>
        <v/>
      </c>
      <c r="O13" s="8" t="inlineStr"/>
    </row>
    <row r="14">
      <c r="A14" s="8" t="inlineStr">
        <is>
          <t>Jewellery &amp; Watches</t>
        </is>
      </c>
      <c r="B14" s="8" t="inlineStr">
        <is>
          <t>Turners</t>
        </is>
      </c>
      <c r="C14" s="9" t="inlineStr">
        <is>
          <t>Gold Coloured Ring with Red and White Coloured Stones - 375 PALL</t>
        </is>
      </c>
      <c r="D14" s="10" t="n"/>
      <c r="E14" s="10" t="n"/>
      <c r="F14" s="8" t="inlineStr">
        <is>
          <t>Very Tidy</t>
        </is>
      </c>
      <c r="G14" s="8" t="n">
        <v>6</v>
      </c>
      <c r="H14" s="8" t="inlineStr">
        <is>
          <t>medium</t>
        </is>
      </c>
      <c r="I14" s="10" t="n">
        <v>400</v>
      </c>
      <c r="J14" s="10" t="n">
        <v>180</v>
      </c>
      <c r="K14" s="10">
        <f>IF(D14&lt;&gt;"",D14*(1+$B$4),IF(E14&lt;&gt;"",E14,""))</f>
        <v/>
      </c>
      <c r="L14" s="10">
        <f>IF(J14&lt;&gt;"",J14*(1-$B$5)-$B$6,"")</f>
        <v/>
      </c>
      <c r="M14" s="10">
        <f>IF(AND(K14&lt;&gt;"",L14&lt;&gt;""),L14-K14,"")</f>
        <v/>
      </c>
      <c r="N14" s="11">
        <f>IFERROR(M14/K14,"")</f>
        <v/>
      </c>
      <c r="O14" s="8" t="inlineStr"/>
    </row>
    <row r="15">
      <c r="A15" s="8" t="inlineStr">
        <is>
          <t>House &amp; Garden</t>
        </is>
      </c>
      <c r="B15" s="8" t="inlineStr">
        <is>
          <t>Turners</t>
        </is>
      </c>
      <c r="C15" s="9" t="inlineStr">
        <is>
          <t>Rexon - Quartz Banco Vanity Top 1200mm - Black Diamond *NEW*</t>
        </is>
      </c>
      <c r="D15" s="10" t="n">
        <v>2</v>
      </c>
      <c r="E15" s="10" t="n"/>
      <c r="F15" s="8" t="inlineStr">
        <is>
          <t>Tidy</t>
        </is>
      </c>
      <c r="G15" s="8" t="n">
        <v>9</v>
      </c>
      <c r="H15" s="8" t="inlineStr">
        <is>
          <t>high</t>
        </is>
      </c>
      <c r="I15" s="10" t="n">
        <v>1000</v>
      </c>
      <c r="J15" s="10" t="n">
        <v>650</v>
      </c>
      <c r="K15" s="10">
        <f>IF(D15&lt;&gt;"",D15*(1+$B$4),IF(E15&lt;&gt;"",E15,""))</f>
        <v/>
      </c>
      <c r="L15" s="10">
        <f>IF(J15&lt;&gt;"",J15*(1-$B$5)-$B$6,"")</f>
        <v/>
      </c>
      <c r="M15" s="10">
        <f>IF(AND(K15&lt;&gt;"",L15&lt;&gt;""),L15-K15,"")</f>
        <v/>
      </c>
      <c r="N15" s="11">
        <f>IFERROR(M15/K15,"")</f>
        <v/>
      </c>
      <c r="O15" s="8" t="inlineStr">
        <is>
          <t>No comparable item found this run -- standalone assessment only; Reserve: Reserve Met; Closes unknown</t>
        </is>
      </c>
    </row>
    <row r="16">
      <c r="A16" s="8" t="inlineStr">
        <is>
          <t>House &amp; Garden</t>
        </is>
      </c>
      <c r="B16" s="8" t="inlineStr">
        <is>
          <t>Turners</t>
        </is>
      </c>
      <c r="C16" s="9" t="inlineStr">
        <is>
          <t>Hafele Home - Kitchen Rail System 320mm - 1.21m *NEW* RRP $155</t>
        </is>
      </c>
      <c r="D16" s="10" t="n">
        <v>3</v>
      </c>
      <c r="E16" s="10" t="n"/>
      <c r="F16" s="8" t="inlineStr">
        <is>
          <t>As New</t>
        </is>
      </c>
      <c r="G16" s="8" t="n">
        <v>9</v>
      </c>
      <c r="H16" s="8" t="inlineStr">
        <is>
          <t>high</t>
        </is>
      </c>
      <c r="I16" s="10" t="n">
        <v>155</v>
      </c>
      <c r="J16" s="10" t="n">
        <v>95</v>
      </c>
      <c r="K16" s="10">
        <f>IF(D16&lt;&gt;"",D16*(1+$B$4),IF(E16&lt;&gt;"",E16,""))</f>
        <v/>
      </c>
      <c r="L16" s="10">
        <f>IF(J16&lt;&gt;"",J16*(1-$B$5)-$B$6,"")</f>
        <v/>
      </c>
      <c r="M16" s="10">
        <f>IF(AND(K16&lt;&gt;"",L16&lt;&gt;""),L16-K16,"")</f>
        <v/>
      </c>
      <c r="N16" s="11">
        <f>IFERROR(M16/K16,"")</f>
        <v/>
      </c>
      <c r="O16" s="8" t="inlineStr">
        <is>
          <t>No comparable item found this run -- standalone assessment only; Reserve: Reserve Met; Closes unknown</t>
        </is>
      </c>
    </row>
    <row r="17">
      <c r="A17" s="8" t="inlineStr">
        <is>
          <t>Automotive Parts</t>
        </is>
      </c>
      <c r="B17" s="8" t="inlineStr">
        <is>
          <t>Turners</t>
        </is>
      </c>
      <c r="C17" s="9" t="inlineStr">
        <is>
          <t>Switches , Flasher Units &amp; Warning Lights - Automotive Electrical Parts *New*</t>
        </is>
      </c>
      <c r="D17" s="10" t="n">
        <v>196</v>
      </c>
      <c r="E17" s="10" t="n"/>
      <c r="F17" s="8" t="inlineStr">
        <is>
          <t>As New</t>
        </is>
      </c>
      <c r="G17" s="8" t="n">
        <v>7</v>
      </c>
      <c r="H17" s="8" t="inlineStr">
        <is>
          <t>medium</t>
        </is>
      </c>
      <c r="I17" s="10" t="n">
        <v>400</v>
      </c>
      <c r="J17" s="10" t="n">
        <v>280</v>
      </c>
      <c r="K17" s="10">
        <f>IF(D17&lt;&gt;"",D17*(1+$B$4),IF(E17&lt;&gt;"",E17,""))</f>
        <v/>
      </c>
      <c r="L17" s="10">
        <f>IF(J17&lt;&gt;"",J17*(1-$B$5)-$B$6,"")</f>
        <v/>
      </c>
      <c r="M17" s="10">
        <f>IF(AND(K17&lt;&gt;"",L17&lt;&gt;""),L17-K17,"")</f>
        <v/>
      </c>
      <c r="N17" s="11">
        <f>IFERROR(M17/K17,"")</f>
        <v/>
      </c>
      <c r="O17" s="8" t="inlineStr">
        <is>
          <t>No comparable item found this run -- standalone assessment only; Reserve: No Reserve; Closes unknown</t>
        </is>
      </c>
    </row>
    <row r="18">
      <c r="A18" s="8" t="inlineStr">
        <is>
          <t>Trucks &amp; Machinery</t>
        </is>
      </c>
      <c r="B18" s="8" t="inlineStr">
        <is>
          <t>Turners</t>
        </is>
      </c>
      <c r="C18" s="9" t="inlineStr">
        <is>
          <t>2003 TRAILER VOYAGER Flat Deck - Single</t>
        </is>
      </c>
      <c r="D18" s="10" t="n">
        <v>900</v>
      </c>
      <c r="E18" s="10" t="n"/>
      <c r="F18" s="8" t="inlineStr">
        <is>
          <t>Average Colour Grey</t>
        </is>
      </c>
      <c r="G18" s="8" t="n">
        <v>6</v>
      </c>
      <c r="H18" s="8" t="inlineStr">
        <is>
          <t>medium</t>
        </is>
      </c>
      <c r="I18" s="10" t="n">
        <v>3500</v>
      </c>
      <c r="J18" s="10" t="n">
        <v>1100</v>
      </c>
      <c r="K18" s="10">
        <f>IF(D18&lt;&gt;"",D18*(1+$B$4),IF(E18&lt;&gt;"",E18,""))</f>
        <v/>
      </c>
      <c r="L18" s="10">
        <f>IF(J18&lt;&gt;"",J18*(1-$B$5)-$B$6,"")</f>
        <v/>
      </c>
      <c r="M18" s="10">
        <f>IF(AND(K18&lt;&gt;"",L18&lt;&gt;""),L18-K18,"")</f>
        <v/>
      </c>
      <c r="N18" s="11">
        <f>IFERROR(M18/K18,"")</f>
        <v/>
      </c>
      <c r="O18" s="8" t="inlineStr">
        <is>
          <t>No comparable item found this run -- standalone assessment only</t>
        </is>
      </c>
    </row>
    <row r="19">
      <c r="A19" s="8" t="inlineStr">
        <is>
          <t>Trucks &amp; Machinery</t>
        </is>
      </c>
      <c r="B19" s="8" t="inlineStr">
        <is>
          <t>Turners</t>
        </is>
      </c>
      <c r="C19" s="9" t="inlineStr">
        <is>
          <t>1998 KEA K64SW Flat Deck - Single</t>
        </is>
      </c>
      <c r="D19" s="10" t="n">
        <v>750</v>
      </c>
      <c r="E19" s="10" t="n"/>
      <c r="F19" s="8" t="inlineStr">
        <is>
          <t>Poor Colour Silver</t>
        </is>
      </c>
      <c r="G19" s="8" t="n">
        <v>4</v>
      </c>
      <c r="H19" s="8" t="inlineStr">
        <is>
          <t>medium</t>
        </is>
      </c>
      <c r="I19" s="10" t="n">
        <v>3500</v>
      </c>
      <c r="J19" s="10" t="n">
        <v>1200</v>
      </c>
      <c r="K19" s="10">
        <f>IF(D19&lt;&gt;"",D19*(1+$B$4),IF(E19&lt;&gt;"",E19,""))</f>
        <v/>
      </c>
      <c r="L19" s="10">
        <f>IF(J19&lt;&gt;"",J19*(1-$B$5)-$B$6,"")</f>
        <v/>
      </c>
      <c r="M19" s="10">
        <f>IF(AND(K19&lt;&gt;"",L19&lt;&gt;""),L19-K19,"")</f>
        <v/>
      </c>
      <c r="N19" s="11">
        <f>IFERROR(M19/K19,"")</f>
        <v/>
      </c>
      <c r="O19" s="8" t="inlineStr">
        <is>
          <t>No comparable item found this run -- standalone assessment only</t>
        </is>
      </c>
    </row>
    <row r="20">
      <c r="A20" s="8" t="inlineStr">
        <is>
          <t>Motorbikes</t>
        </is>
      </c>
      <c r="B20" s="8" t="inlineStr">
        <is>
          <t>Turners</t>
        </is>
      </c>
      <c r="C20" s="9" t="inlineStr">
        <is>
          <t>2022 Yamaha AG200</t>
        </is>
      </c>
      <c r="D20" s="10" t="n">
        <v>700</v>
      </c>
      <c r="E20" s="10" t="n"/>
      <c r="F20" s="8" t="inlineStr"/>
      <c r="G20" s="8" t="n">
        <v>3</v>
      </c>
      <c r="H20" s="8" t="inlineStr">
        <is>
          <t>low</t>
        </is>
      </c>
      <c r="I20" s="10" t="n">
        <v>3200</v>
      </c>
      <c r="J20" s="10" t="n">
        <v>1200</v>
      </c>
      <c r="K20" s="10">
        <f>IF(D20&lt;&gt;"",D20*(1+$B$4),IF(E20&lt;&gt;"",E20,""))</f>
        <v/>
      </c>
      <c r="L20" s="10">
        <f>IF(J20&lt;&gt;"",J20*(1-$B$5)-$B$6,"")</f>
        <v/>
      </c>
      <c r="M20" s="10">
        <f>IF(AND(K20&lt;&gt;"",L20&lt;&gt;""),L20-K20,"")</f>
        <v/>
      </c>
      <c r="N20" s="11">
        <f>IFERROR(M20/K20,"")</f>
        <v/>
      </c>
      <c r="O20" s="8" t="inlineStr">
        <is>
          <t>No comparable item found this run -- standalone assessment only</t>
        </is>
      </c>
    </row>
    <row r="21">
      <c r="A21" s="8" t="inlineStr">
        <is>
          <t>Trailers &amp; Caravans</t>
        </is>
      </c>
      <c r="B21" s="8" t="inlineStr">
        <is>
          <t>Turners</t>
        </is>
      </c>
      <c r="C21" s="9" t="inlineStr">
        <is>
          <t>2008 SENATOR LOUISANA Caravan - Tandem</t>
        </is>
      </c>
      <c r="D21" s="10" t="n"/>
      <c r="E21" s="10" t="n"/>
      <c r="F21" s="8" t="inlineStr">
        <is>
          <t>Average Chassis Number SGBTK07BY80706057 Contact Details Viewing Location Turners Auckland Trucks 1187A Great South Road View Map View in Google Maps Contact Alex Linklater 0272304880 Email Consultant Additional Information Vin Not available Turners Ref 28376551 MotorWeb Report Consumer Information Notice (CIN) Email a friend Print this page Your Notes Add your own notes about this item Update Notes Odometer History Odometer History Data Source: Turners, NZTA 0 Cars to compare 0 Items in your wa</t>
        </is>
      </c>
      <c r="G21" s="8" t="n">
        <v>3</v>
      </c>
      <c r="H21" s="8" t="inlineStr">
        <is>
          <t>medium</t>
        </is>
      </c>
      <c r="I21" s="10" t="n">
        <v>55000</v>
      </c>
      <c r="J21" s="10" t="n">
        <v>18000</v>
      </c>
      <c r="K21" s="10">
        <f>IF(D21&lt;&gt;"",D21*(1+$B$4),IF(E21&lt;&gt;"",E21,""))</f>
        <v/>
      </c>
      <c r="L21" s="10">
        <f>IF(J21&lt;&gt;"",J21*(1-$B$5)-$B$6,"")</f>
        <v/>
      </c>
      <c r="M21" s="10">
        <f>IF(AND(K21&lt;&gt;"",L21&lt;&gt;""),L21-K21,"")</f>
        <v/>
      </c>
      <c r="N21" s="11">
        <f>IFERROR(M21/K21,"")</f>
        <v/>
      </c>
      <c r="O21" s="8" t="inlineStr"/>
    </row>
    <row r="22">
      <c r="A22" s="8" t="inlineStr">
        <is>
          <t>Trailers &amp; Caravans</t>
        </is>
      </c>
      <c r="B22" s="8" t="inlineStr">
        <is>
          <t>Turners</t>
        </is>
      </c>
      <c r="C22" s="9" t="inlineStr">
        <is>
          <t>1991 Conqueror 600/5 Caravan - Tandem</t>
        </is>
      </c>
      <c r="D22" s="10" t="n"/>
      <c r="E22" s="10" t="n"/>
      <c r="F22" s="8" t="inlineStr"/>
      <c r="G22" s="8" t="n">
        <v>2</v>
      </c>
      <c r="H22" s="8" t="inlineStr">
        <is>
          <t>low</t>
        </is>
      </c>
      <c r="I22" s="10" t="n">
        <v>45000</v>
      </c>
      <c r="J22" s="10" t="n">
        <v>3000</v>
      </c>
      <c r="K22" s="10">
        <f>IF(D22&lt;&gt;"",D22*(1+$B$4),IF(E22&lt;&gt;"",E22,""))</f>
        <v/>
      </c>
      <c r="L22" s="10">
        <f>IF(J22&lt;&gt;"",J22*(1-$B$5)-$B$6,"")</f>
        <v/>
      </c>
      <c r="M22" s="10">
        <f>IF(AND(K22&lt;&gt;"",L22&lt;&gt;""),L22-K22,"")</f>
        <v/>
      </c>
      <c r="N22" s="11">
        <f>IFERROR(M22/K22,"")</f>
        <v/>
      </c>
      <c r="O22" s="8" t="inlineStr"/>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2026-09-30T21:54:34Z</dcterms:created>
  <dcterms:modified xmlns:dcterms="http://purl.org/dc/terms/" xmlns:xsi="http://www.w3.org/2001/XMLSchema-instance" xsi:type="dcterms:W3CDTF">2026-09-30T21:54:34Z</dcterms:modified>
</cp:coreProperties>
</file>