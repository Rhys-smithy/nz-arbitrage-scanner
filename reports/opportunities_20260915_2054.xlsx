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peripherals/21366501" TargetMode="External" Id="rId1"/><Relationship Type="http://schemas.openxmlformats.org/officeDocument/2006/relationships/hyperlink" Target="https://www.turners.co.nz/General-Goods/Search/computer/networking--modems/21216434" TargetMode="External" Id="rId2"/><Relationship Type="http://schemas.openxmlformats.org/officeDocument/2006/relationships/hyperlink" Target="https://www.turners.co.nz/General-Goods/Search/sport--leisure/cycling/22598082" TargetMode="External" Id="rId3"/><Relationship Type="http://schemas.openxmlformats.org/officeDocument/2006/relationships/hyperlink" Target="https://www.turners.co.nz/General-Goods/Search/sport--leisure/other/21366538" TargetMode="External" Id="rId4"/><Relationship Type="http://schemas.openxmlformats.org/officeDocument/2006/relationships/hyperlink" Target="https://www.turners.co.nz/General-Goods/Search/jewellery/rings/22556304" TargetMode="External" Id="rId5"/><Relationship Type="http://schemas.openxmlformats.org/officeDocument/2006/relationships/hyperlink" Target="https://www.turners.co.nz/General-Goods/Search/jewellery/necklaces--pendants/22556410" TargetMode="External" Id="rId6"/><Relationship Type="http://schemas.openxmlformats.org/officeDocument/2006/relationships/hyperlink" Target="https://www.turners.co.nz/General-Goods/Search/jewellery/rings/28421723" TargetMode="External" Id="rId7"/><Relationship Type="http://schemas.openxmlformats.org/officeDocument/2006/relationships/hyperlink" Target="https://www.turners.co.nz/General-Goods/Search/house--garden/bathroom/28447547" TargetMode="External" Id="rId8"/><Relationship Type="http://schemas.openxmlformats.org/officeDocument/2006/relationships/hyperlink" Target="https://www.turners.co.nz/General-Goods/Search/house--garden/bathroom/28448952" TargetMode="External" Id="rId9"/><Relationship Type="http://schemas.openxmlformats.org/officeDocument/2006/relationships/hyperlink" Target="https://www.thorntons.net.nz/auctions/detail/bw133233" TargetMode="External" Id="rId10"/><Relationship Type="http://schemas.openxmlformats.org/officeDocument/2006/relationships/hyperlink" Target="https://www.turners.co.nz/General-Goods/Search/automotive-goods/other/24902676" TargetMode="External" Id="rId11"/><Relationship Type="http://schemas.openxmlformats.org/officeDocument/2006/relationships/hyperlink" Target="https://www.turners.co.nz/General-Goods/Search/automotive-goods/other/2504278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Logitech Plug and Play USB Combo - Keyboard and Mouse</t>
        </is>
      </c>
      <c r="D10" s="10" t="n">
        <v>1</v>
      </c>
      <c r="E10" s="10" t="n"/>
      <c r="F10" s="8" t="inlineStr">
        <is>
          <t>Excellent</t>
        </is>
      </c>
      <c r="G10" s="8" t="n">
        <v>9</v>
      </c>
      <c r="H10" s="8" t="inlineStr">
        <is>
          <t>high</t>
        </is>
      </c>
      <c r="I10" s="10" t="n">
        <v>45</v>
      </c>
      <c r="J10" s="10" t="n">
        <v>30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20 Sep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ZigBee - CarbonTrack Smart Plug CTSU v1.0</t>
        </is>
      </c>
      <c r="D11" s="10" t="n">
        <v>1</v>
      </c>
      <c r="E11" s="10" t="n"/>
      <c r="F11" s="8" t="inlineStr">
        <is>
          <t>Excellent</t>
        </is>
      </c>
      <c r="G11" s="8" t="n">
        <v>9</v>
      </c>
      <c r="H11" s="8" t="inlineStr">
        <is>
          <t>medium</t>
        </is>
      </c>
      <c r="I11" s="10" t="n">
        <v>80</v>
      </c>
      <c r="J11" s="10" t="n">
        <v>35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20 Sep 26</t>
        </is>
      </c>
    </row>
    <row r="12">
      <c r="A12" s="8" t="inlineStr">
        <is>
          <t>Sport &amp; Leisure</t>
        </is>
      </c>
      <c r="B12" s="8" t="inlineStr">
        <is>
          <t>Turners</t>
        </is>
      </c>
      <c r="C12" s="9" t="inlineStr">
        <is>
          <t>Neptune Bicycle</t>
        </is>
      </c>
      <c r="D12" s="10" t="n">
        <v>1</v>
      </c>
      <c r="E12" s="10" t="n"/>
      <c r="F12" s="8" t="inlineStr">
        <is>
          <t>Tidy</t>
        </is>
      </c>
      <c r="G12" s="8" t="n">
        <v>9</v>
      </c>
      <c r="H12" s="8" t="inlineStr">
        <is>
          <t>high</t>
        </is>
      </c>
      <c r="I12" s="10" t="n">
        <v>250</v>
      </c>
      <c r="J12" s="10" t="n">
        <v>60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21 Sep 26</t>
        </is>
      </c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Ping Pong Table</t>
        </is>
      </c>
      <c r="D13" s="10" t="n">
        <v>10</v>
      </c>
      <c r="E13" s="10" t="n"/>
      <c r="F13" s="8" t="inlineStr">
        <is>
          <t>Tidy</t>
        </is>
      </c>
      <c r="G13" s="8" t="n">
        <v>9</v>
      </c>
      <c r="H13" s="8" t="inlineStr">
        <is>
          <t>high</t>
        </is>
      </c>
      <c r="I13" s="10" t="n">
        <v>300</v>
      </c>
      <c r="J13" s="10" t="n">
        <v>120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20 Sep 26</t>
        </is>
      </c>
    </row>
    <row r="14">
      <c r="A14" s="8" t="inlineStr">
        <is>
          <t>Jewellery &amp; Watches</t>
        </is>
      </c>
      <c r="B14" s="8" t="inlineStr">
        <is>
          <t>Turners</t>
        </is>
      </c>
      <c r="C14" s="9" t="inlineStr">
        <is>
          <t>Costume Ring</t>
        </is>
      </c>
      <c r="D14" s="10" t="n">
        <v>1</v>
      </c>
      <c r="E14" s="10" t="n"/>
      <c r="F14" s="8" t="inlineStr">
        <is>
          <t>Tidy</t>
        </is>
      </c>
      <c r="G14" s="8" t="n">
        <v>8</v>
      </c>
      <c r="H14" s="8" t="inlineStr">
        <is>
          <t>high</t>
        </is>
      </c>
      <c r="I14" s="10" t="n">
        <v>18</v>
      </c>
      <c r="J14" s="10" t="n">
        <v>10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Reserve: No Reserve; Closes 21 Sep 26</t>
        </is>
      </c>
    </row>
    <row r="15">
      <c r="A15" s="8" t="inlineStr">
        <is>
          <t>Jewellery &amp; Watches</t>
        </is>
      </c>
      <c r="B15" s="8" t="inlineStr">
        <is>
          <t>Turners</t>
        </is>
      </c>
      <c r="C15" s="9" t="inlineStr">
        <is>
          <t>Silver coloured Necklace With Clear Stone Pendant</t>
        </is>
      </c>
      <c r="D15" s="10" t="n">
        <v>1</v>
      </c>
      <c r="E15" s="10" t="n"/>
      <c r="F15" s="8" t="inlineStr">
        <is>
          <t>Average</t>
        </is>
      </c>
      <c r="G15" s="8" t="n">
        <v>8</v>
      </c>
      <c r="H15" s="8" t="inlineStr">
        <is>
          <t>high</t>
        </is>
      </c>
      <c r="I15" s="10" t="n">
        <v>80</v>
      </c>
      <c r="J15" s="10" t="n">
        <v>35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Reserve: Reserve Met; Closes 21 Sep 26</t>
        </is>
      </c>
    </row>
    <row r="16">
      <c r="A16" s="8" t="inlineStr">
        <is>
          <t>Jewellery &amp; Watches</t>
        </is>
      </c>
      <c r="B16" s="8" t="inlineStr">
        <is>
          <t>Turners</t>
        </is>
      </c>
      <c r="C16" s="9" t="inlineStr">
        <is>
          <t>Costume Ring</t>
        </is>
      </c>
      <c r="D16" s="10" t="n">
        <v>1</v>
      </c>
      <c r="E16" s="10" t="n"/>
      <c r="F16" s="8" t="inlineStr">
        <is>
          <t>Tidy</t>
        </is>
      </c>
      <c r="G16" s="8" t="n">
        <v>7</v>
      </c>
      <c r="H16" s="8" t="inlineStr">
        <is>
          <t>high</t>
        </is>
      </c>
      <c r="I16" s="10" t="n">
        <v>12</v>
      </c>
      <c r="J16" s="10" t="n">
        <v>7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Reserve: No Reserve; Closes 21 Sep 26</t>
        </is>
      </c>
    </row>
    <row r="17">
      <c r="A17" s="8" t="inlineStr">
        <is>
          <t>House &amp; Garden</t>
        </is>
      </c>
      <c r="B17" s="8" t="inlineStr">
        <is>
          <t>Turners</t>
        </is>
      </c>
      <c r="C17" s="9" t="inlineStr">
        <is>
          <t>Methven - Glide Wall Mounted Bath Spout - Black *NEW* RRP $229</t>
        </is>
      </c>
      <c r="D17" s="10" t="n">
        <v>1</v>
      </c>
      <c r="E17" s="10" t="n"/>
      <c r="F17" s="8" t="inlineStr">
        <is>
          <t>As New</t>
        </is>
      </c>
      <c r="G17" s="8" t="n">
        <v>9</v>
      </c>
      <c r="H17" s="8" t="inlineStr">
        <is>
          <t>high</t>
        </is>
      </c>
      <c r="I17" s="10" t="n">
        <v>229</v>
      </c>
      <c r="J17" s="10" t="n">
        <v>180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No comparable item found this run -- standalone assessment only; Reserve: No Reserve; Closes 20 Sep 26</t>
        </is>
      </c>
    </row>
    <row r="18">
      <c r="A18" s="8" t="inlineStr">
        <is>
          <t>House &amp; Garden</t>
        </is>
      </c>
      <c r="B18" s="8" t="inlineStr">
        <is>
          <t>Turners</t>
        </is>
      </c>
      <c r="C18" s="9" t="inlineStr">
        <is>
          <t>Hafele Home - Drawer Organiser - White *NEW*</t>
        </is>
      </c>
      <c r="D18" s="10" t="n">
        <v>1</v>
      </c>
      <c r="E18" s="10" t="n"/>
      <c r="F18" s="8" t="inlineStr">
        <is>
          <t>As New</t>
        </is>
      </c>
      <c r="G18" s="8" t="n">
        <v>9</v>
      </c>
      <c r="H18" s="8" t="inlineStr">
        <is>
          <t>high</t>
        </is>
      </c>
      <c r="I18" s="10" t="n">
        <v>25</v>
      </c>
      <c r="J18" s="10" t="n">
        <v>20</v>
      </c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>
        <is>
          <t>No comparable item found this run -- standalone assessment only; Reserve: No Reserve; Closes 20 Sep 26</t>
        </is>
      </c>
    </row>
    <row r="19">
      <c r="A19" s="8" t="inlineStr">
        <is>
          <t>House &amp; Garden</t>
        </is>
      </c>
      <c r="B19" s="8" t="inlineStr">
        <is>
          <t>Thorntons</t>
        </is>
      </c>
      <c r="C19" s="9" t="inlineStr">
        <is>
          <t>Hospitality, Whiteware &amp; Commercial Auction 08.10.26 TH133233</t>
        </is>
      </c>
      <c r="D19" s="10" t="n"/>
      <c r="E19" s="10" t="n"/>
      <c r="F19" s="8" t="inlineStr"/>
      <c r="G19" s="8" t="n">
        <v>5</v>
      </c>
      <c r="H19" s="8" t="inlineStr">
        <is>
          <t>medium</t>
        </is>
      </c>
      <c r="I19" s="10" t="n"/>
      <c r="J19" s="10" t="n"/>
      <c r="K19" s="10">
        <f>IF(D19&lt;&gt;"",D19*(1+$B$4),IF(E19&lt;&gt;"",E19,""))</f>
        <v/>
      </c>
      <c r="L19" s="10">
        <f>IF(J19&lt;&gt;"",J19*(1-$B$5)-$B$6,"")</f>
        <v/>
      </c>
      <c r="M19" s="10">
        <f>IF(AND(K19&lt;&gt;"",L19&lt;&gt;""),L19-K19,"")</f>
        <v/>
      </c>
      <c r="N19" s="11">
        <f>IFERROR(M19/K19,"")</f>
        <v/>
      </c>
      <c r="O19" s="8" t="inlineStr">
        <is>
          <t>Caution: minimal description available; unclear lot count</t>
        </is>
      </c>
    </row>
    <row r="20">
      <c r="A20" s="8" t="inlineStr">
        <is>
          <t>Automotive Parts</t>
        </is>
      </c>
      <c r="B20" s="8" t="inlineStr">
        <is>
          <t>Turners</t>
        </is>
      </c>
      <c r="C20" s="9" t="inlineStr">
        <is>
          <t>Narva 24V 4W BA9S T4W Globes</t>
        </is>
      </c>
      <c r="D20" s="10" t="n">
        <v>1</v>
      </c>
      <c r="E20" s="10" t="n"/>
      <c r="F20" s="8" t="inlineStr">
        <is>
          <t>Average</t>
        </is>
      </c>
      <c r="G20" s="8" t="n">
        <v>9</v>
      </c>
      <c r="H20" s="8" t="inlineStr">
        <is>
          <t>high</t>
        </is>
      </c>
      <c r="I20" s="10" t="n">
        <v>16</v>
      </c>
      <c r="J20" s="10" t="n">
        <v>8</v>
      </c>
      <c r="K20" s="10">
        <f>IF(D20&lt;&gt;"",D20*(1+$B$4),IF(E20&lt;&gt;"",E20,""))</f>
        <v/>
      </c>
      <c r="L20" s="10">
        <f>IF(J20&lt;&gt;"",J20*(1-$B$5)-$B$6,"")</f>
        <v/>
      </c>
      <c r="M20" s="10">
        <f>IF(AND(K20&lt;&gt;"",L20&lt;&gt;""),L20-K20,"")</f>
        <v/>
      </c>
      <c r="N20" s="11">
        <f>IFERROR(M20/K20,"")</f>
        <v/>
      </c>
      <c r="O20" s="8" t="inlineStr">
        <is>
          <t>No comparable item found this run -- standalone assessment only; Reserve: Reserve Met; Closes 21 Sep 26</t>
        </is>
      </c>
    </row>
    <row r="21">
      <c r="A21" s="8" t="inlineStr">
        <is>
          <t>Automotive Parts</t>
        </is>
      </c>
      <c r="B21" s="8" t="inlineStr">
        <is>
          <t>Turners</t>
        </is>
      </c>
      <c r="C21" s="9" t="inlineStr">
        <is>
          <t>Darley Yoke Nut</t>
        </is>
      </c>
      <c r="D21" s="10" t="n">
        <v>1</v>
      </c>
      <c r="E21" s="10" t="n"/>
      <c r="F21" s="8" t="inlineStr">
        <is>
          <t>Average</t>
        </is>
      </c>
      <c r="G21" s="8" t="n">
        <v>2</v>
      </c>
      <c r="H21" s="8" t="inlineStr">
        <is>
          <t>low</t>
        </is>
      </c>
      <c r="I21" s="10" t="n">
        <v>8</v>
      </c>
      <c r="J21" s="10" t="n">
        <v>1</v>
      </c>
      <c r="K21" s="10">
        <f>IF(D21&lt;&gt;"",D21*(1+$B$4),IF(E21&lt;&gt;"",E21,""))</f>
        <v/>
      </c>
      <c r="L21" s="10">
        <f>IF(J21&lt;&gt;"",J21*(1-$B$5)-$B$6,"")</f>
        <v/>
      </c>
      <c r="M21" s="10">
        <f>IF(AND(K21&lt;&gt;"",L21&lt;&gt;""),L21-K21,"")</f>
        <v/>
      </c>
      <c r="N21" s="11">
        <f>IFERROR(M21/K21,"")</f>
        <v/>
      </c>
      <c r="O21" s="8" t="inlineStr">
        <is>
          <t>No comparable item found this run -- standalone assessment only; Reserve: No Reserve; Closes 21 Sep 26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2026-09-15T20:54:02Z</dcterms:created>
  <dcterms:modified xmlns:dcterms="http://purl.org/dc/terms/" xmlns:xsi="http://www.w3.org/2001/XMLSchema-instance" xsi:type="dcterms:W3CDTF">2026-09-15T20:54:02Z</dcterms:modified>
</cp:coreProperties>
</file>