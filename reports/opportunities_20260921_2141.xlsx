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computer/printers/21365869" TargetMode="External" Id="rId1"/><Relationship Type="http://schemas.openxmlformats.org/officeDocument/2006/relationships/hyperlink" Target="https://www.turners.co.nz/General-Goods/Search/electronics/radio-equipment/21215943" TargetMode="External" Id="rId2"/><Relationship Type="http://schemas.openxmlformats.org/officeDocument/2006/relationships/hyperlink" Target="https://www.turners.co.nz/General-Goods/Search/sport--leisure/camping-equipment/25456173" TargetMode="External" Id="rId3"/><Relationship Type="http://schemas.openxmlformats.org/officeDocument/2006/relationships/hyperlink" Target="https://www.turners.co.nz/General-Goods/Search/jewellery/necklaces--pendants/25315833" TargetMode="External" Id="rId4"/><Relationship Type="http://schemas.openxmlformats.org/officeDocument/2006/relationships/hyperlink" Target="https://www.turners.co.nz/General-Goods/Search/jewellery/necklaces--pendants/25315822" TargetMode="External" Id="rId5"/><Relationship Type="http://schemas.openxmlformats.org/officeDocument/2006/relationships/hyperlink" Target="https://www.turners.co.nz/General-Goods/Search/house--garden/cleaning-equipment/21216680" TargetMode="External" Id="rId6"/><Relationship Type="http://schemas.openxmlformats.org/officeDocument/2006/relationships/hyperlink" Target="https://www.turners.co.nz/General-Goods/Search/health--beauty/hair-care/21215936" TargetMode="External" Id="rId7"/><Relationship Type="http://schemas.openxmlformats.org/officeDocument/2006/relationships/hyperlink" Target="https://www.turners.co.nz/General-Goods/Search/health--beauty/other/21215860" TargetMode="External" Id="rId8"/><Relationship Type="http://schemas.openxmlformats.org/officeDocument/2006/relationships/hyperlink" Target="https://www.turners.co.nz/General-Goods/Search/automotive-goods/car-parts/28476226" TargetMode="External" Id="rId9"/><Relationship Type="http://schemas.openxmlformats.org/officeDocument/2006/relationships/hyperlink" Target="https://www.turners.co.nz/General-Goods/Search/automotive-goods/car-parts/28475045" TargetMode="External" Id="rId10"/><Relationship Type="http://schemas.openxmlformats.org/officeDocument/2006/relationships/hyperlink" Target="https://www.turners.co.nz/General-Goods/Search/automotive-goods/car-parts/28476149" TargetMode="External" Id="rId11"/><Relationship Type="http://schemas.openxmlformats.org/officeDocument/2006/relationships/hyperlink" Target="https://www.turners.co.nz/Trucks-Machinery/Used-Trucks-and-Machinery-for-Sale/vicom/pendulum-spreader/28471670" TargetMode="External" Id="rId12"/><Relationship Type="http://schemas.openxmlformats.org/officeDocument/2006/relationships/hyperlink" Target="https://www.turners.co.nz/Trucks-Machinery/Used-Trucks-and-Machinery-for-Sale/trailer/local/28404497" TargetMode="External" Id="rId13"/><Relationship Type="http://schemas.openxmlformats.org/officeDocument/2006/relationships/hyperlink" Target="https://www.turners.co.nz/motorcycles-scooters/Used-Motorbikes-for-Sale/yamaha/mw/27550182" TargetMode="External" Id="rId14"/><Relationship Type="http://schemas.openxmlformats.org/officeDocument/2006/relationships/hyperlink" Target="https://www.turners.co.nz/motorcycles-scooters/Used-Motorbikes-for-Sale/yamaha/mw/27550195" TargetMode="External" Id="rId15"/></Relationships>
</file>

<file path=xl/worksheets/sheet1.xml><?xml version="1.0" encoding="utf-8"?>
<worksheet xmlns="http://schemas.openxmlformats.org/spreadsheetml/2006/main">
  <sheetPr>
    <outlinePr summaryBelow="1" summaryRight="1"/>
    <pageSetUpPr/>
  </sheetPr>
  <dimension ref="A1:O24"/>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Fujifilm Toner Cartridge - Yellow</t>
        </is>
      </c>
      <c r="D10" s="10" t="n">
        <v>1</v>
      </c>
      <c r="E10" s="10" t="n"/>
      <c r="F10" s="8" t="inlineStr">
        <is>
          <t>Excellent</t>
        </is>
      </c>
      <c r="G10" s="8" t="n">
        <v>9</v>
      </c>
      <c r="H10" s="8" t="inlineStr">
        <is>
          <t>high</t>
        </is>
      </c>
      <c r="I10" s="10" t="n">
        <v>100</v>
      </c>
      <c r="J10" s="10" t="n">
        <v>65</v>
      </c>
      <c r="K10" s="10">
        <f>IF(D10&lt;&gt;"",D10*(1+$B$4),IF(E10&lt;&gt;"",E10,""))</f>
        <v/>
      </c>
      <c r="L10" s="10">
        <f>IF(J10&lt;&gt;"",J10*(1-$B$5)-$B$6,"")</f>
        <v/>
      </c>
      <c r="M10" s="10">
        <f>IF(AND(K10&lt;&gt;"",L10&lt;&gt;""),L10-K10,"")</f>
        <v/>
      </c>
      <c r="N10" s="11">
        <f>IFERROR(M10/K10,"")</f>
        <v/>
      </c>
      <c r="O10" s="8" t="inlineStr">
        <is>
          <t>No comparable item found this run -- standalone assessment only; Reserve: No Reserve; Closes 27 Sep 26</t>
        </is>
      </c>
    </row>
    <row r="11">
      <c r="A11" s="8" t="inlineStr">
        <is>
          <t>Electronics &amp; Tech</t>
        </is>
      </c>
      <c r="B11" s="8" t="inlineStr">
        <is>
          <t>Turners</t>
        </is>
      </c>
      <c r="C11" s="9" t="inlineStr">
        <is>
          <t>GME Radio, Storage Container Etc</t>
        </is>
      </c>
      <c r="D11" s="10" t="n">
        <v>10</v>
      </c>
      <c r="E11" s="10" t="n"/>
      <c r="F11" s="8" t="inlineStr">
        <is>
          <t>Tidy</t>
        </is>
      </c>
      <c r="G11" s="8" t="n">
        <v>4</v>
      </c>
      <c r="H11" s="8" t="inlineStr">
        <is>
          <t>low</t>
        </is>
      </c>
      <c r="I11" s="10" t="n">
        <v>150</v>
      </c>
      <c r="J11" s="10" t="n">
        <v>25</v>
      </c>
      <c r="K11" s="10">
        <f>IF(D11&lt;&gt;"",D11*(1+$B$4),IF(E11&lt;&gt;"",E11,""))</f>
        <v/>
      </c>
      <c r="L11" s="10">
        <f>IF(J11&lt;&gt;"",J11*(1-$B$5)-$B$6,"")</f>
        <v/>
      </c>
      <c r="M11" s="10">
        <f>IF(AND(K11&lt;&gt;"",L11&lt;&gt;""),L11-K11,"")</f>
        <v/>
      </c>
      <c r="N11" s="11">
        <f>IFERROR(M11/K11,"")</f>
        <v/>
      </c>
      <c r="O11" s="8" t="inlineStr">
        <is>
          <t>No comparable item found this run -- standalone assessment only; Reserve: No Reserve; Closes 27 Sep 26</t>
        </is>
      </c>
    </row>
    <row r="12">
      <c r="A12" s="8" t="inlineStr">
        <is>
          <t>Sport &amp; Leisure</t>
        </is>
      </c>
      <c r="B12" s="8" t="inlineStr">
        <is>
          <t>Turners</t>
        </is>
      </c>
      <c r="C12" s="9" t="inlineStr">
        <is>
          <t>Campmaster Gas Cooker</t>
        </is>
      </c>
      <c r="D12" s="10" t="n">
        <v>1</v>
      </c>
      <c r="E12" s="10" t="n"/>
      <c r="F12" s="8" t="inlineStr">
        <is>
          <t>Unknown</t>
        </is>
      </c>
      <c r="G12" s="8" t="n">
        <v>9</v>
      </c>
      <c r="H12" s="8" t="inlineStr">
        <is>
          <t>high</t>
        </is>
      </c>
      <c r="I12" s="10" t="n">
        <v>150</v>
      </c>
      <c r="J12" s="10" t="n">
        <v>60</v>
      </c>
      <c r="K12" s="10">
        <f>IF(D12&lt;&gt;"",D12*(1+$B$4),IF(E12&lt;&gt;"",E12,""))</f>
        <v/>
      </c>
      <c r="L12" s="10">
        <f>IF(J12&lt;&gt;"",J12*(1-$B$5)-$B$6,"")</f>
        <v/>
      </c>
      <c r="M12" s="10">
        <f>IF(AND(K12&lt;&gt;"",L12&lt;&gt;""),L12-K12,"")</f>
        <v/>
      </c>
      <c r="N12" s="11">
        <f>IFERROR(M12/K12,"")</f>
        <v/>
      </c>
      <c r="O12" s="8" t="inlineStr">
        <is>
          <t>No comparable item found this run -- standalone assessment only; Reserve: Reserve Met; Closes 28 Sep 26</t>
        </is>
      </c>
    </row>
    <row r="13">
      <c r="A13" s="8" t="inlineStr">
        <is>
          <t>Jewellery &amp; Watches</t>
        </is>
      </c>
      <c r="B13" s="8" t="inlineStr">
        <is>
          <t>Turners</t>
        </is>
      </c>
      <c r="C13" s="9" t="inlineStr">
        <is>
          <t>Jade Pendant with Gold Coloured Insert</t>
        </is>
      </c>
      <c r="D13" s="10" t="n">
        <v>1</v>
      </c>
      <c r="E13" s="10" t="n"/>
      <c r="F13" s="8" t="inlineStr">
        <is>
          <t>Average</t>
        </is>
      </c>
      <c r="G13" s="8" t="n">
        <v>9</v>
      </c>
      <c r="H13" s="8" t="inlineStr">
        <is>
          <t>high</t>
        </is>
      </c>
      <c r="I13" s="10" t="n">
        <v>120</v>
      </c>
      <c r="J13" s="10" t="n">
        <v>65</v>
      </c>
      <c r="K13" s="10">
        <f>IF(D13&lt;&gt;"",D13*(1+$B$4),IF(E13&lt;&gt;"",E13,""))</f>
        <v/>
      </c>
      <c r="L13" s="10">
        <f>IF(J13&lt;&gt;"",J13*(1-$B$5)-$B$6,"")</f>
        <v/>
      </c>
      <c r="M13" s="10">
        <f>IF(AND(K13&lt;&gt;"",L13&lt;&gt;""),L13-K13,"")</f>
        <v/>
      </c>
      <c r="N13" s="11">
        <f>IFERROR(M13/K13,"")</f>
        <v/>
      </c>
      <c r="O13" s="8" t="inlineStr">
        <is>
          <t>No comparable item found this run -- standalone assessment only; Reserve: Reserve Met; Closes 28 Sep 26</t>
        </is>
      </c>
    </row>
    <row r="14">
      <c r="A14" s="8" t="inlineStr">
        <is>
          <t>Jewellery &amp; Watches</t>
        </is>
      </c>
      <c r="B14" s="8" t="inlineStr">
        <is>
          <t>Turners</t>
        </is>
      </c>
      <c r="C14" s="9" t="inlineStr">
        <is>
          <t>Jade Bangle</t>
        </is>
      </c>
      <c r="D14" s="10" t="n">
        <v>1</v>
      </c>
      <c r="E14" s="10" t="n"/>
      <c r="F14" s="8" t="inlineStr">
        <is>
          <t>Average</t>
        </is>
      </c>
      <c r="G14" s="8" t="n">
        <v>3</v>
      </c>
      <c r="H14" s="8" t="inlineStr">
        <is>
          <t>low</t>
        </is>
      </c>
      <c r="I14" s="10" t="n">
        <v>150</v>
      </c>
      <c r="J14" s="10" t="n">
        <v>20</v>
      </c>
      <c r="K14" s="10">
        <f>IF(D14&lt;&gt;"",D14*(1+$B$4),IF(E14&lt;&gt;"",E14,""))</f>
        <v/>
      </c>
      <c r="L14" s="10">
        <f>IF(J14&lt;&gt;"",J14*(1-$B$5)-$B$6,"")</f>
        <v/>
      </c>
      <c r="M14" s="10">
        <f>IF(AND(K14&lt;&gt;"",L14&lt;&gt;""),L14-K14,"")</f>
        <v/>
      </c>
      <c r="N14" s="11">
        <f>IFERROR(M14/K14,"")</f>
        <v/>
      </c>
      <c r="O14" s="8" t="inlineStr">
        <is>
          <t>No comparable item found this run -- standalone assessment only; Reserve: No Reserve; Closes 28 Sep 26</t>
        </is>
      </c>
    </row>
    <row r="15">
      <c r="A15" s="8" t="inlineStr">
        <is>
          <t>House &amp; Garden</t>
        </is>
      </c>
      <c r="B15" s="8" t="inlineStr">
        <is>
          <t>Turners</t>
        </is>
      </c>
      <c r="C15" s="9" t="inlineStr">
        <is>
          <t>Miscellaneous Items - Filta Numatic Vacuum Bags, Bulb Etc</t>
        </is>
      </c>
      <c r="D15" s="10" t="n">
        <v>29</v>
      </c>
      <c r="E15" s="10" t="n"/>
      <c r="F15" s="8" t="inlineStr">
        <is>
          <t>Very Tidy</t>
        </is>
      </c>
      <c r="G15" s="8" t="n">
        <v>4</v>
      </c>
      <c r="H15" s="8" t="inlineStr">
        <is>
          <t>low</t>
        </is>
      </c>
      <c r="I15" s="10" t="n">
        <v>60</v>
      </c>
      <c r="J15" s="10" t="n">
        <v>20</v>
      </c>
      <c r="K15" s="10">
        <f>IF(D15&lt;&gt;"",D15*(1+$B$4),IF(E15&lt;&gt;"",E15,""))</f>
        <v/>
      </c>
      <c r="L15" s="10">
        <f>IF(J15&lt;&gt;"",J15*(1-$B$5)-$B$6,"")</f>
        <v/>
      </c>
      <c r="M15" s="10">
        <f>IF(AND(K15&lt;&gt;"",L15&lt;&gt;""),L15-K15,"")</f>
        <v/>
      </c>
      <c r="N15" s="11">
        <f>IFERROR(M15/K15,"")</f>
        <v/>
      </c>
      <c r="O15" s="8" t="inlineStr">
        <is>
          <t>No comparable item found this run -- standalone assessment only; Reserve: No Reserve; Closes 27 Sep 26</t>
        </is>
      </c>
    </row>
    <row r="16">
      <c r="A16" s="8" t="inlineStr">
        <is>
          <t>Health &amp; Beauty</t>
        </is>
      </c>
      <c r="B16" s="8" t="inlineStr">
        <is>
          <t>Turners</t>
        </is>
      </c>
      <c r="C16" s="9" t="inlineStr">
        <is>
          <t>Hairdressing Items or Similar - Schwarzkopf Oil Developer Etc</t>
        </is>
      </c>
      <c r="D16" s="10" t="n">
        <v>10</v>
      </c>
      <c r="E16" s="10" t="n"/>
      <c r="F16" s="8" t="inlineStr">
        <is>
          <t>Very Tidy</t>
        </is>
      </c>
      <c r="G16" s="8" t="n">
        <v>3</v>
      </c>
      <c r="H16" s="8" t="inlineStr">
        <is>
          <t>low</t>
        </is>
      </c>
      <c r="I16" s="10" t="n"/>
      <c r="J16" s="10" t="n">
        <v>5</v>
      </c>
      <c r="K16" s="10">
        <f>IF(D16&lt;&gt;"",D16*(1+$B$4),IF(E16&lt;&gt;"",E16,""))</f>
        <v/>
      </c>
      <c r="L16" s="10">
        <f>IF(J16&lt;&gt;"",J16*(1-$B$5)-$B$6,"")</f>
        <v/>
      </c>
      <c r="M16" s="10">
        <f>IF(AND(K16&lt;&gt;"",L16&lt;&gt;""),L16-K16,"")</f>
        <v/>
      </c>
      <c r="N16" s="11">
        <f>IFERROR(M16/K16,"")</f>
        <v/>
      </c>
      <c r="O16" s="8" t="inlineStr">
        <is>
          <t>No comparable item found this run -- standalone assessment only; Reserve: No Reserve; Closes 27 Sep 26</t>
        </is>
      </c>
    </row>
    <row r="17">
      <c r="A17" s="8" t="inlineStr">
        <is>
          <t>Health &amp; Beauty</t>
        </is>
      </c>
      <c r="B17" s="8" t="inlineStr">
        <is>
          <t>Turners</t>
        </is>
      </c>
      <c r="C17" s="9" t="inlineStr">
        <is>
          <t>Disposable Surgical Caps - RHS914</t>
        </is>
      </c>
      <c r="D17" s="10" t="n">
        <v>1</v>
      </c>
      <c r="E17" s="10" t="n"/>
      <c r="F17" s="8" t="inlineStr">
        <is>
          <t>Excellent</t>
        </is>
      </c>
      <c r="G17" s="8" t="n">
        <v>2</v>
      </c>
      <c r="H17" s="8" t="inlineStr">
        <is>
          <t>low</t>
        </is>
      </c>
      <c r="I17" s="10" t="n">
        <v>60</v>
      </c>
      <c r="J17" s="10" t="n"/>
      <c r="K17" s="10">
        <f>IF(D17&lt;&gt;"",D17*(1+$B$4),IF(E17&lt;&gt;"",E17,""))</f>
        <v/>
      </c>
      <c r="L17" s="10">
        <f>IF(J17&lt;&gt;"",J17*(1-$B$5)-$B$6,"")</f>
        <v/>
      </c>
      <c r="M17" s="10">
        <f>IF(AND(K17&lt;&gt;"",L17&lt;&gt;""),L17-K17,"")</f>
        <v/>
      </c>
      <c r="N17" s="11">
        <f>IFERROR(M17/K17,"")</f>
        <v/>
      </c>
      <c r="O17" s="8" t="inlineStr">
        <is>
          <t>No comparable item found this run -- standalone assessment only; Reserve: No Reserve; Closes 27 Sep 26</t>
        </is>
      </c>
    </row>
    <row r="18">
      <c r="A18" s="8" t="inlineStr">
        <is>
          <t>Automotive Parts</t>
        </is>
      </c>
      <c r="B18" s="8" t="inlineStr">
        <is>
          <t>Turners</t>
        </is>
      </c>
      <c r="C18" s="9" t="inlineStr">
        <is>
          <t>Narva &amp; Other Automotive Cabling   - Automotive Electrical Parts Clearance</t>
        </is>
      </c>
      <c r="D18" s="10" t="n">
        <v>1</v>
      </c>
      <c r="E18" s="10" t="n"/>
      <c r="F18" s="8" t="inlineStr">
        <is>
          <t>As New</t>
        </is>
      </c>
      <c r="G18" s="8" t="n">
        <v>9</v>
      </c>
      <c r="H18" s="8" t="inlineStr">
        <is>
          <t>high</t>
        </is>
      </c>
      <c r="I18" s="10" t="n">
        <v>200</v>
      </c>
      <c r="J18" s="10" t="n">
        <v>80</v>
      </c>
      <c r="K18" s="10">
        <f>IF(D18&lt;&gt;"",D18*(1+$B$4),IF(E18&lt;&gt;"",E18,""))</f>
        <v/>
      </c>
      <c r="L18" s="10">
        <f>IF(J18&lt;&gt;"",J18*(1-$B$5)-$B$6,"")</f>
        <v/>
      </c>
      <c r="M18" s="10">
        <f>IF(AND(K18&lt;&gt;"",L18&lt;&gt;""),L18-K18,"")</f>
        <v/>
      </c>
      <c r="N18" s="11">
        <f>IFERROR(M18/K18,"")</f>
        <v/>
      </c>
      <c r="O18" s="8" t="inlineStr">
        <is>
          <t>Reserve: Reserve Met; Closes 27 Sep 26</t>
        </is>
      </c>
    </row>
    <row r="19">
      <c r="A19" s="8" t="inlineStr">
        <is>
          <t>Automotive Parts</t>
        </is>
      </c>
      <c r="B19" s="8" t="inlineStr">
        <is>
          <t>Turners</t>
        </is>
      </c>
      <c r="C19" s="9" t="inlineStr">
        <is>
          <t>Battery Terminals, Frames &amp; Cables - *New* Automotive Electrical Clearance</t>
        </is>
      </c>
      <c r="D19" s="10" t="n">
        <v>81</v>
      </c>
      <c r="E19" s="10" t="n"/>
      <c r="F19" s="8" t="inlineStr">
        <is>
          <t>As New</t>
        </is>
      </c>
      <c r="G19" s="8" t="n">
        <v>8</v>
      </c>
      <c r="H19" s="8" t="inlineStr">
        <is>
          <t>medium</t>
        </is>
      </c>
      <c r="I19" s="10" t="n">
        <v>180</v>
      </c>
      <c r="J19" s="10" t="n">
        <v>125</v>
      </c>
      <c r="K19" s="10">
        <f>IF(D19&lt;&gt;"",D19*(1+$B$4),IF(E19&lt;&gt;"",E19,""))</f>
        <v/>
      </c>
      <c r="L19" s="10">
        <f>IF(J19&lt;&gt;"",J19*(1-$B$5)-$B$6,"")</f>
        <v/>
      </c>
      <c r="M19" s="10">
        <f>IF(AND(K19&lt;&gt;"",L19&lt;&gt;""),L19-K19,"")</f>
        <v/>
      </c>
      <c r="N19" s="11">
        <f>IFERROR(M19/K19,"")</f>
        <v/>
      </c>
      <c r="O19" s="8" t="inlineStr">
        <is>
          <t>Reserve: No Reserve; Closes 27 Sep 26</t>
        </is>
      </c>
    </row>
    <row r="20">
      <c r="A20" s="8" t="inlineStr">
        <is>
          <t>Automotive Parts</t>
        </is>
      </c>
      <c r="B20" s="8" t="inlineStr">
        <is>
          <t>Turners</t>
        </is>
      </c>
      <c r="C20" s="9" t="inlineStr">
        <is>
          <t>Narva Insulated Terminal Packs - Automotive Electrical Parts *New*</t>
        </is>
      </c>
      <c r="D20" s="10" t="n">
        <v>58</v>
      </c>
      <c r="E20" s="10" t="n"/>
      <c r="F20" s="8" t="inlineStr">
        <is>
          <t>As New</t>
        </is>
      </c>
      <c r="G20" s="8" t="n">
        <v>8</v>
      </c>
      <c r="H20" s="8" t="inlineStr">
        <is>
          <t>high</t>
        </is>
      </c>
      <c r="I20" s="10" t="n">
        <v>140</v>
      </c>
      <c r="J20" s="10" t="n">
        <v>95</v>
      </c>
      <c r="K20" s="10">
        <f>IF(D20&lt;&gt;"",D20*(1+$B$4),IF(E20&lt;&gt;"",E20,""))</f>
        <v/>
      </c>
      <c r="L20" s="10">
        <f>IF(J20&lt;&gt;"",J20*(1-$B$5)-$B$6,"")</f>
        <v/>
      </c>
      <c r="M20" s="10">
        <f>IF(AND(K20&lt;&gt;"",L20&lt;&gt;""),L20-K20,"")</f>
        <v/>
      </c>
      <c r="N20" s="11">
        <f>IFERROR(M20/K20,"")</f>
        <v/>
      </c>
      <c r="O20" s="8" t="inlineStr">
        <is>
          <t>Reserve: No Reserve; Closes 27 Sep 26</t>
        </is>
      </c>
    </row>
    <row r="21">
      <c r="A21" s="8" t="inlineStr">
        <is>
          <t>Trucks &amp; Machinery</t>
        </is>
      </c>
      <c r="B21" s="8" t="inlineStr">
        <is>
          <t>Turners</t>
        </is>
      </c>
      <c r="C21" s="9" t="inlineStr">
        <is>
          <t>2022 Vicom Pendulum Spreader Spreader</t>
        </is>
      </c>
      <c r="D21" s="10" t="n">
        <v>210</v>
      </c>
      <c r="E21" s="10" t="n"/>
      <c r="F21" s="8" t="inlineStr">
        <is>
          <t>Average Colour Yellow Mechanical Condition Average</t>
        </is>
      </c>
      <c r="G21" s="8" t="n">
        <v>4</v>
      </c>
      <c r="H21" s="8" t="inlineStr">
        <is>
          <t>low</t>
        </is>
      </c>
      <c r="I21" s="10" t="n">
        <v>3500</v>
      </c>
      <c r="J21" s="10" t="n">
        <v>800</v>
      </c>
      <c r="K21" s="10">
        <f>IF(D21&lt;&gt;"",D21*(1+$B$4),IF(E21&lt;&gt;"",E21,""))</f>
        <v/>
      </c>
      <c r="L21" s="10">
        <f>IF(J21&lt;&gt;"",J21*(1-$B$5)-$B$6,"")</f>
        <v/>
      </c>
      <c r="M21" s="10">
        <f>IF(AND(K21&lt;&gt;"",L21&lt;&gt;""),L21-K21,"")</f>
        <v/>
      </c>
      <c r="N21" s="11">
        <f>IFERROR(M21/K21,"")</f>
        <v/>
      </c>
      <c r="O21" s="8" t="inlineStr">
        <is>
          <t>No comparable item found this run -- standalone assessment only</t>
        </is>
      </c>
    </row>
    <row r="22">
      <c r="A22" s="8" t="inlineStr">
        <is>
          <t>Trucks &amp; Machinery</t>
        </is>
      </c>
      <c r="B22" s="8" t="inlineStr">
        <is>
          <t>Turners</t>
        </is>
      </c>
      <c r="C22" s="9" t="inlineStr">
        <is>
          <t>1966 Trailer Local Cable Drum - Single</t>
        </is>
      </c>
      <c r="D22" s="10" t="n">
        <v>591</v>
      </c>
      <c r="E22" s="10" t="n"/>
      <c r="F22" s="8" t="inlineStr"/>
      <c r="G22" s="8" t="n">
        <v>3</v>
      </c>
      <c r="H22" s="8" t="inlineStr">
        <is>
          <t>low</t>
        </is>
      </c>
      <c r="I22" s="10" t="n"/>
      <c r="J22" s="10" t="n">
        <v>400</v>
      </c>
      <c r="K22" s="10">
        <f>IF(D22&lt;&gt;"",D22*(1+$B$4),IF(E22&lt;&gt;"",E22,""))</f>
        <v/>
      </c>
      <c r="L22" s="10">
        <f>IF(J22&lt;&gt;"",J22*(1-$B$5)-$B$6,"")</f>
        <v/>
      </c>
      <c r="M22" s="10">
        <f>IF(AND(K22&lt;&gt;"",L22&lt;&gt;""),L22-K22,"")</f>
        <v/>
      </c>
      <c r="N22" s="11">
        <f>IFERROR(M22/K22,"")</f>
        <v/>
      </c>
      <c r="O22" s="8" t="inlineStr">
        <is>
          <t>No comparable item found this run -- standalone assessment only</t>
        </is>
      </c>
    </row>
    <row r="23">
      <c r="A23" s="8" t="inlineStr">
        <is>
          <t>Motorbikes</t>
        </is>
      </c>
      <c r="B23" s="8" t="inlineStr">
        <is>
          <t>Turners</t>
        </is>
      </c>
      <c r="C23" s="9" t="inlineStr">
        <is>
          <t>2018 Yamaha MW 150AG</t>
        </is>
      </c>
      <c r="D23" s="10" t="n">
        <v>965</v>
      </c>
      <c r="E23" s="10" t="n"/>
      <c r="F23" s="8" t="inlineStr">
        <is>
          <t>WOF Till 11/26 Reg Till 07/05/2027. 15315 kms Please make yourself familiar with the Terms and Conditions of this sale. With Turners being the agent, all care has gone into representing this listing, however it is the buyers responsibility as per the T&amp;C’s to seek an independent inspection to assess the condition prior to purchase and you the buyer have not relied upon representations made by Turners or the Vendor. This item is located at Turners Trucks DUNEDIN. Mon-Fri 8.30-4.30 Please make you</t>
        </is>
      </c>
      <c r="G23" s="8" t="n">
        <v>7</v>
      </c>
      <c r="H23" s="8" t="inlineStr">
        <is>
          <t>medium</t>
        </is>
      </c>
      <c r="I23" s="10" t="n">
        <v>3200</v>
      </c>
      <c r="J23" s="10" t="n">
        <v>1400</v>
      </c>
      <c r="K23" s="10">
        <f>IF(D23&lt;&gt;"",D23*(1+$B$4),IF(E23&lt;&gt;"",E23,""))</f>
        <v/>
      </c>
      <c r="L23" s="10">
        <f>IF(J23&lt;&gt;"",J23*(1-$B$5)-$B$6,"")</f>
        <v/>
      </c>
      <c r="M23" s="10">
        <f>IF(AND(K23&lt;&gt;"",L23&lt;&gt;""),L23-K23,"")</f>
        <v/>
      </c>
      <c r="N23" s="11">
        <f>IFERROR(M23/K23,"")</f>
        <v/>
      </c>
      <c r="O23" s="8" t="inlineStr"/>
    </row>
    <row r="24">
      <c r="A24" s="8" t="inlineStr">
        <is>
          <t>Motorbikes</t>
        </is>
      </c>
      <c r="B24" s="8" t="inlineStr">
        <is>
          <t>Turners</t>
        </is>
      </c>
      <c r="C24" s="9" t="inlineStr">
        <is>
          <t>2018 Yamaha MW 150AG</t>
        </is>
      </c>
      <c r="D24" s="10" t="n">
        <v>1425</v>
      </c>
      <c r="E24" s="10" t="n"/>
      <c r="F24" s="8" t="inlineStr">
        <is>
          <t>17439km WOF 09/27 Reg 19/02/2027. Please make yourself familiar with the Terms and Conditions of this sale. With Turners being the agent, all care has gone into representing this listing, however it is the buyers responsibility as per the T&amp;C’s to seek an independent inspection to assess the condition prior to purchase and you the buyer have not relied upon representations made by Turners or the Vendor. This item is located at Turners Trucks DUNEDIN. Mon-Fri 8.30-4.30 Please make yourself famili</t>
        </is>
      </c>
      <c r="G24" s="8" t="n">
        <v>6</v>
      </c>
      <c r="H24" s="8" t="inlineStr">
        <is>
          <t>medium</t>
        </is>
      </c>
      <c r="I24" s="10" t="n">
        <v>3200</v>
      </c>
      <c r="J24" s="10" t="n">
        <v>1350</v>
      </c>
      <c r="K24" s="10">
        <f>IF(D24&lt;&gt;"",D24*(1+$B$4),IF(E24&lt;&gt;"",E24,""))</f>
        <v/>
      </c>
      <c r="L24" s="10">
        <f>IF(J24&lt;&gt;"",J24*(1-$B$5)-$B$6,"")</f>
        <v/>
      </c>
      <c r="M24" s="10">
        <f>IF(AND(K24&lt;&gt;"",L24&lt;&gt;""),L24-K24,"")</f>
        <v/>
      </c>
      <c r="N24" s="11">
        <f>IFERROR(M24/K24,"")</f>
        <v/>
      </c>
      <c r="O24"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2026-09-21T21:41:55Z</dcterms:created>
  <dcterms:modified xmlns:dcterms="http://purl.org/dc/terms/" xmlns:xsi="http://www.w3.org/2001/XMLSchema-instance" xsi:type="dcterms:W3CDTF">2026-09-21T21:41:55Z</dcterms:modified>
</cp:coreProperties>
</file>