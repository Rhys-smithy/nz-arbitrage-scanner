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computer/pc/25217287" TargetMode="External" Id="rId1"/><Relationship Type="http://schemas.openxmlformats.org/officeDocument/2006/relationships/hyperlink" Target="https://www.turners.co.nz/General-Goods/Search/computer/pc/25217294" TargetMode="External" Id="rId2"/><Relationship Type="http://schemas.openxmlformats.org/officeDocument/2006/relationships/hyperlink" Target="https://www.turners.co.nz/General-Goods/Search/jewellery/bracelets--charms/28502319" TargetMode="External" Id="rId3"/><Relationship Type="http://schemas.openxmlformats.org/officeDocument/2006/relationships/hyperlink" Target="https://www.turners.co.nz/General-Goods/Search/jewellery/rings/28504148" TargetMode="External" Id="rId4"/><Relationship Type="http://schemas.openxmlformats.org/officeDocument/2006/relationships/hyperlink" Target="https://www.turners.co.nz/General-Goods/Search/house--garden/outdoor--garden-furniture/26156536" TargetMode="External" Id="rId5"/><Relationship Type="http://schemas.openxmlformats.org/officeDocument/2006/relationships/hyperlink" Target="https://www.turners.co.nz/General-Goods/Search/house--garden/bathroom/28429967" TargetMode="External" Id="rId6"/><Relationship Type="http://schemas.openxmlformats.org/officeDocument/2006/relationships/hyperlink" Target="https://www.turners.co.nz/General-Goods/Search/crafts/painting--drawing/25301404" TargetMode="External" Id="rId7"/><Relationship Type="http://schemas.openxmlformats.org/officeDocument/2006/relationships/hyperlink" Target="https://www.turners.co.nz/General-Goods/Search/crafts/painting--drawing/25301436" TargetMode="External" Id="rId8"/><Relationship Type="http://schemas.openxmlformats.org/officeDocument/2006/relationships/hyperlink" Target="https://www.turners.co.nz/General-Goods/Search/crafts/painting--drawing/25301427" TargetMode="External" Id="rId9"/><Relationship Type="http://schemas.openxmlformats.org/officeDocument/2006/relationships/hyperlink" Target="https://www.turners.co.nz/Cars/Used-Cars-for-Sale/toyota/corolla-fielder/27974298" TargetMode="External" Id="rId10"/><Relationship Type="http://schemas.openxmlformats.org/officeDocument/2006/relationships/hyperlink" Target="https://www.turners.co.nz/Cars/Used-Cars-for-Sale/toyota/rav4/28392352" TargetMode="External" Id="rId11"/><Relationship Type="http://schemas.openxmlformats.org/officeDocument/2006/relationships/hyperlink" Target="https://www.turners.co.nz/motorcycles-scooters/Used-Motorbikes-for-Sale/cf-moto/450-eps/28485033" TargetMode="External" Id="rId12"/><Relationship Type="http://schemas.openxmlformats.org/officeDocument/2006/relationships/hyperlink" Target="https://www.turners.co.nz/motorcycles-scooters/Used-Motorbikes-for-Sale/circa-yamaha/ag200/28447302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Acer Veriton Desktop</t>
        </is>
      </c>
      <c r="D10" s="10" t="n">
        <v>3</v>
      </c>
      <c r="E10" s="10" t="n"/>
      <c r="F10" s="8" t="inlineStr">
        <is>
          <t>Average</t>
        </is>
      </c>
      <c r="G10" s="8" t="n">
        <v>9</v>
      </c>
      <c r="H10" s="8" t="inlineStr">
        <is>
          <t>high</t>
        </is>
      </c>
      <c r="I10" s="10" t="n">
        <v>800</v>
      </c>
      <c r="J10" s="10" t="n">
        <v>150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Reserve Met; Closes 12 Oct 26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Lenovo 90RX Desktop</t>
        </is>
      </c>
      <c r="D11" s="10" t="n">
        <v>4</v>
      </c>
      <c r="E11" s="10" t="n"/>
      <c r="F11" s="8" t="inlineStr">
        <is>
          <t>Average</t>
        </is>
      </c>
      <c r="G11" s="8" t="n">
        <v>9</v>
      </c>
      <c r="H11" s="8" t="inlineStr">
        <is>
          <t>medium</t>
        </is>
      </c>
      <c r="I11" s="10" t="n"/>
      <c r="J11" s="10" t="n">
        <v>80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Reserve Met; Closes 12 Oct 26</t>
        </is>
      </c>
    </row>
    <row r="12">
      <c r="A12" s="8" t="inlineStr">
        <is>
          <t>Jewellery &amp; Watches</t>
        </is>
      </c>
      <c r="B12" s="8" t="inlineStr">
        <is>
          <t>Turners</t>
        </is>
      </c>
      <c r="C12" s="9" t="inlineStr">
        <is>
          <t>Pandora Bracelet w/ One Flamingo Charm</t>
        </is>
      </c>
      <c r="D12" s="10" t="n">
        <v>24</v>
      </c>
      <c r="E12" s="10" t="n"/>
      <c r="F12" s="8" t="inlineStr">
        <is>
          <t>Tidy</t>
        </is>
      </c>
      <c r="G12" s="8" t="n">
        <v>3</v>
      </c>
      <c r="H12" s="8" t="inlineStr">
        <is>
          <t>low</t>
        </is>
      </c>
      <c r="I12" s="10" t="n">
        <v>120</v>
      </c>
      <c r="J12" s="10" t="n">
        <v>15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only; Reserve: Reserve Met; Closes unknown</t>
        </is>
      </c>
    </row>
    <row r="13">
      <c r="A13" s="8" t="inlineStr">
        <is>
          <t>Jewellery &amp; Watches</t>
        </is>
      </c>
      <c r="B13" s="8" t="inlineStr">
        <is>
          <t>Turners</t>
        </is>
      </c>
      <c r="C13" s="9" t="inlineStr">
        <is>
          <t>9CT Gold Band w/ Stones</t>
        </is>
      </c>
      <c r="D13" s="10" t="n">
        <v>151</v>
      </c>
      <c r="E13" s="10" t="n"/>
      <c r="F13" s="8" t="inlineStr">
        <is>
          <t>Tidy</t>
        </is>
      </c>
      <c r="G13" s="8" t="n">
        <v>2</v>
      </c>
      <c r="H13" s="8" t="inlineStr">
        <is>
          <t>low</t>
        </is>
      </c>
      <c r="I13" s="10" t="n">
        <v>400</v>
      </c>
      <c r="J13" s="10" t="n"/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No comparable item found this run -- standalone assessment only; Reserve: Reserve Met; Closes unknown</t>
        </is>
      </c>
    </row>
    <row r="14">
      <c r="A14" s="8" t="inlineStr">
        <is>
          <t>House &amp; Garden</t>
        </is>
      </c>
      <c r="B14" s="8" t="inlineStr">
        <is>
          <t>Turners</t>
        </is>
      </c>
      <c r="C14" s="9" t="inlineStr">
        <is>
          <t>Wonderland diamond string lights</t>
        </is>
      </c>
      <c r="D14" s="10" t="n">
        <v>6</v>
      </c>
      <c r="E14" s="10" t="n"/>
      <c r="F14" s="8" t="inlineStr">
        <is>
          <t>Very Tidy</t>
        </is>
      </c>
      <c r="G14" s="8" t="n">
        <v>9</v>
      </c>
      <c r="H14" s="8" t="inlineStr">
        <is>
          <t>high</t>
        </is>
      </c>
      <c r="I14" s="10" t="n">
        <v>35</v>
      </c>
      <c r="J14" s="10" t="n">
        <v>22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No comparable item found this run -- standalone assessment only; Reserve: Reserve Met; Closes unknown</t>
        </is>
      </c>
    </row>
    <row r="15">
      <c r="A15" s="8" t="inlineStr">
        <is>
          <t>House &amp; Garden</t>
        </is>
      </c>
      <c r="B15" s="8" t="inlineStr">
        <is>
          <t>Turners</t>
        </is>
      </c>
      <c r="C15" s="9" t="inlineStr">
        <is>
          <t>Rexon - Quartz Banco Vanity Top 1500mm - Linen</t>
        </is>
      </c>
      <c r="D15" s="10" t="n">
        <v>11</v>
      </c>
      <c r="E15" s="10" t="n"/>
      <c r="F15" s="8" t="inlineStr">
        <is>
          <t>Tidy</t>
        </is>
      </c>
      <c r="G15" s="8" t="n">
        <v>9</v>
      </c>
      <c r="H15" s="8" t="inlineStr">
        <is>
          <t>high</t>
        </is>
      </c>
      <c r="I15" s="10" t="n">
        <v>800</v>
      </c>
      <c r="J15" s="10" t="n">
        <v>450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No comparable item found this run -- standalone assessment only; Reserve: Reserve Met; Closes unknown</t>
        </is>
      </c>
    </row>
    <row r="16">
      <c r="A16" s="8" t="inlineStr">
        <is>
          <t>Antiques &amp; Collectables</t>
        </is>
      </c>
      <c r="B16" s="8" t="inlineStr">
        <is>
          <t>Turners</t>
        </is>
      </c>
      <c r="C16" s="9" t="inlineStr">
        <is>
          <t>2x Easels or Similar</t>
        </is>
      </c>
      <c r="D16" s="10" t="n"/>
      <c r="E16" s="10" t="n"/>
      <c r="F16" s="8" t="inlineStr">
        <is>
          <t>Tidy</t>
        </is>
      </c>
      <c r="G16" s="8" t="n">
        <v>4</v>
      </c>
      <c r="H16" s="8" t="inlineStr">
        <is>
          <t>low</t>
        </is>
      </c>
      <c r="I16" s="10" t="n">
        <v>80</v>
      </c>
      <c r="J16" s="10" t="n">
        <v>25</v>
      </c>
      <c r="K16" s="10">
        <f>IF(D16&lt;&gt;"",D16*(1+$B$4),IF(E16&lt;&gt;"",E16,""))</f>
        <v/>
      </c>
      <c r="L16" s="10">
        <f>IF(J16&lt;&gt;"",J16*(1-$B$5)-$B$6,"")</f>
        <v/>
      </c>
      <c r="M16" s="10">
        <f>IF(AND(K16&lt;&gt;"",L16&lt;&gt;""),L16-K16,"")</f>
        <v/>
      </c>
      <c r="N16" s="11">
        <f>IFERROR(M16/K16,"")</f>
        <v/>
      </c>
      <c r="O16" s="8" t="inlineStr"/>
    </row>
    <row r="17">
      <c r="A17" s="8" t="inlineStr">
        <is>
          <t>Antiques &amp; Collectables</t>
        </is>
      </c>
      <c r="B17" s="8" t="inlineStr">
        <is>
          <t>Turners</t>
        </is>
      </c>
      <c r="C17" s="9" t="inlineStr">
        <is>
          <t>2x Easels or Similar</t>
        </is>
      </c>
      <c r="D17" s="10" t="n"/>
      <c r="E17" s="10" t="n"/>
      <c r="F17" s="8" t="inlineStr">
        <is>
          <t>Tidy</t>
        </is>
      </c>
      <c r="G17" s="8" t="n">
        <v>4</v>
      </c>
      <c r="H17" s="8" t="inlineStr">
        <is>
          <t>low</t>
        </is>
      </c>
      <c r="I17" s="10" t="n">
        <v>70</v>
      </c>
      <c r="J17" s="10" t="n">
        <v>20</v>
      </c>
      <c r="K17" s="10">
        <f>IF(D17&lt;&gt;"",D17*(1+$B$4),IF(E17&lt;&gt;"",E17,""))</f>
        <v/>
      </c>
      <c r="L17" s="10">
        <f>IF(J17&lt;&gt;"",J17*(1-$B$5)-$B$6,"")</f>
        <v/>
      </c>
      <c r="M17" s="10">
        <f>IF(AND(K17&lt;&gt;"",L17&lt;&gt;""),L17-K17,"")</f>
        <v/>
      </c>
      <c r="N17" s="11">
        <f>IFERROR(M17/K17,"")</f>
        <v/>
      </c>
      <c r="O17" s="8" t="inlineStr"/>
    </row>
    <row r="18">
      <c r="A18" s="8" t="inlineStr">
        <is>
          <t>Antiques &amp; Collectables</t>
        </is>
      </c>
      <c r="B18" s="8" t="inlineStr">
        <is>
          <t>Turners</t>
        </is>
      </c>
      <c r="C18" s="9" t="inlineStr">
        <is>
          <t>2x Easels or Similar</t>
        </is>
      </c>
      <c r="D18" s="10" t="n"/>
      <c r="E18" s="10" t="n"/>
      <c r="F18" s="8" t="inlineStr">
        <is>
          <t>Tidy</t>
        </is>
      </c>
      <c r="G18" s="8" t="n">
        <v>3</v>
      </c>
      <c r="H18" s="8" t="inlineStr">
        <is>
          <t>low</t>
        </is>
      </c>
      <c r="I18" s="10" t="n">
        <v>60</v>
      </c>
      <c r="J18" s="10" t="n">
        <v>15</v>
      </c>
      <c r="K18" s="10">
        <f>IF(D18&lt;&gt;"",D18*(1+$B$4),IF(E18&lt;&gt;"",E18,""))</f>
        <v/>
      </c>
      <c r="L18" s="10">
        <f>IF(J18&lt;&gt;"",J18*(1-$B$5)-$B$6,"")</f>
        <v/>
      </c>
      <c r="M18" s="10">
        <f>IF(AND(K18&lt;&gt;"",L18&lt;&gt;""),L18-K18,"")</f>
        <v/>
      </c>
      <c r="N18" s="11">
        <f>IFERROR(M18/K18,"")</f>
        <v/>
      </c>
      <c r="O18" s="8" t="inlineStr"/>
    </row>
    <row r="19">
      <c r="A19" s="8" t="inlineStr">
        <is>
          <t>Cars</t>
        </is>
      </c>
      <c r="B19" s="8" t="inlineStr">
        <is>
          <t>Turners</t>
        </is>
      </c>
      <c r="C19" s="9" t="inlineStr">
        <is>
          <t>2016 Toyota Corolla Fielder 2WD</t>
        </is>
      </c>
      <c r="D19" s="10" t="n"/>
      <c r="E19" s="10" t="n"/>
      <c r="F19" s="8" t="inlineStr"/>
      <c r="G19" s="8" t="n">
        <v>7</v>
      </c>
      <c r="H19" s="8" t="inlineStr">
        <is>
          <t>high</t>
        </is>
      </c>
      <c r="I19" s="10" t="n">
        <v>32000</v>
      </c>
      <c r="J19" s="10" t="n">
        <v>16500</v>
      </c>
      <c r="K19" s="10">
        <f>IF(D19&lt;&gt;"",D19*(1+$B$4),IF(E19&lt;&gt;"",E19,""))</f>
        <v/>
      </c>
      <c r="L19" s="10">
        <f>IF(J19&lt;&gt;"",J19*(1-$B$5)-$B$6,"")</f>
        <v/>
      </c>
      <c r="M19" s="10">
        <f>IF(AND(K19&lt;&gt;"",L19&lt;&gt;""),L19-K19,"")</f>
        <v/>
      </c>
      <c r="N19" s="11">
        <f>IFERROR(M19/K19,"")</f>
        <v/>
      </c>
      <c r="O19" s="8" t="inlineStr"/>
    </row>
    <row r="20">
      <c r="A20" s="8" t="inlineStr">
        <is>
          <t>Cars</t>
        </is>
      </c>
      <c r="B20" s="8" t="inlineStr">
        <is>
          <t>Turners</t>
        </is>
      </c>
      <c r="C20" s="9" t="inlineStr">
        <is>
          <t>2016 Toyota Rav4 LTD SUV 2WD</t>
        </is>
      </c>
      <c r="D20" s="10" t="n"/>
      <c r="E20" s="10" t="n"/>
      <c r="F20" s="8" t="inlineStr"/>
      <c r="G20" s="8" t="n">
        <v>5</v>
      </c>
      <c r="H20" s="8" t="inlineStr">
        <is>
          <t>high</t>
        </is>
      </c>
      <c r="I20" s="10" t="n">
        <v>38000</v>
      </c>
      <c r="J20" s="10" t="n">
        <v>14000</v>
      </c>
      <c r="K20" s="10">
        <f>IF(D20&lt;&gt;"",D20*(1+$B$4),IF(E20&lt;&gt;"",E20,""))</f>
        <v/>
      </c>
      <c r="L20" s="10">
        <f>IF(J20&lt;&gt;"",J20*(1-$B$5)-$B$6,"")</f>
        <v/>
      </c>
      <c r="M20" s="10">
        <f>IF(AND(K20&lt;&gt;"",L20&lt;&gt;""),L20-K20,"")</f>
        <v/>
      </c>
      <c r="N20" s="11">
        <f>IFERROR(M20/K20,"")</f>
        <v/>
      </c>
      <c r="O20" s="8" t="inlineStr"/>
    </row>
    <row r="21">
      <c r="A21" s="8" t="inlineStr">
        <is>
          <t>Motorbikes</t>
        </is>
      </c>
      <c r="B21" s="8" t="inlineStr">
        <is>
          <t>Turners</t>
        </is>
      </c>
      <c r="C21" s="9" t="inlineStr">
        <is>
          <t>2024 CF Moto 450 EPS</t>
        </is>
      </c>
      <c r="D21" s="10" t="n">
        <v>1450</v>
      </c>
      <c r="E21" s="10" t="n"/>
      <c r="F21" s="8" t="inlineStr"/>
      <c r="G21" s="8" t="n">
        <v>3</v>
      </c>
      <c r="H21" s="8" t="inlineStr">
        <is>
          <t>medium</t>
        </is>
      </c>
      <c r="I21" s="10" t="n">
        <v>8500</v>
      </c>
      <c r="J21" s="10" t="n">
        <v>5500</v>
      </c>
      <c r="K21" s="10">
        <f>IF(D21&lt;&gt;"",D21*(1+$B$4),IF(E21&lt;&gt;"",E21,""))</f>
        <v/>
      </c>
      <c r="L21" s="10">
        <f>IF(J21&lt;&gt;"",J21*(1-$B$5)-$B$6,"")</f>
        <v/>
      </c>
      <c r="M21" s="10">
        <f>IF(AND(K21&lt;&gt;"",L21&lt;&gt;""),L21-K21,"")</f>
        <v/>
      </c>
      <c r="N21" s="11">
        <f>IFERROR(M21/K21,"")</f>
        <v/>
      </c>
      <c r="O21" s="8" t="inlineStr">
        <is>
          <t>No comparable item found this run -- standalone assessment only</t>
        </is>
      </c>
    </row>
    <row r="22">
      <c r="A22" s="8" t="inlineStr">
        <is>
          <t>Motorbikes</t>
        </is>
      </c>
      <c r="B22" s="8" t="inlineStr">
        <is>
          <t>Turners</t>
        </is>
      </c>
      <c r="C22" s="9" t="inlineStr">
        <is>
          <t>2022 Circa Yamaha AG200</t>
        </is>
      </c>
      <c r="D22" s="10" t="n">
        <v>650</v>
      </c>
      <c r="E22" s="10" t="n"/>
      <c r="F22" s="8" t="inlineStr"/>
      <c r="G22" s="8" t="n">
        <v>2</v>
      </c>
      <c r="H22" s="8" t="inlineStr">
        <is>
          <t>low</t>
        </is>
      </c>
      <c r="I22" s="10" t="n">
        <v>2800</v>
      </c>
      <c r="J22" s="10" t="n">
        <v>250</v>
      </c>
      <c r="K22" s="10">
        <f>IF(D22&lt;&gt;"",D22*(1+$B$4),IF(E22&lt;&gt;"",E22,""))</f>
        <v/>
      </c>
      <c r="L22" s="10">
        <f>IF(J22&lt;&gt;"",J22*(1-$B$5)-$B$6,"")</f>
        <v/>
      </c>
      <c r="M22" s="10">
        <f>IF(AND(K22&lt;&gt;"",L22&lt;&gt;""),L22-K22,"")</f>
        <v/>
      </c>
      <c r="N22" s="11">
        <f>IFERROR(M22/K22,"")</f>
        <v/>
      </c>
      <c r="O22" s="8" t="inlineStr"/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  <hyperlink xmlns:r="http://schemas.openxmlformats.org/officeDocument/2006/relationships" ref="C17" r:id="rId8"/>
    <hyperlink xmlns:r="http://schemas.openxmlformats.org/officeDocument/2006/relationships" ref="C18" r:id="rId9"/>
    <hyperlink xmlns:r="http://schemas.openxmlformats.org/officeDocument/2006/relationships" ref="C19" r:id="rId10"/>
    <hyperlink xmlns:r="http://schemas.openxmlformats.org/officeDocument/2006/relationships" ref="C20" r:id="rId11"/>
    <hyperlink xmlns:r="http://schemas.openxmlformats.org/officeDocument/2006/relationships" ref="C21" r:id="rId12"/>
    <hyperlink xmlns:r="http://schemas.openxmlformats.org/officeDocument/2006/relationships" ref="C22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2026-10-07T22:40:57Z</dcterms:created>
  <dcterms:modified xmlns:dcterms="http://purl.org/dc/terms/" xmlns:xsi="http://www.w3.org/2001/XMLSchema-instance" xsi:type="dcterms:W3CDTF">2026-10-07T22:40:57Z</dcterms:modified>
</cp:coreProperties>
</file>