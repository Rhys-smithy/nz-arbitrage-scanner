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electronics/other/28214824" TargetMode="External" Id="rId1"/><Relationship Type="http://schemas.openxmlformats.org/officeDocument/2006/relationships/hyperlink" Target="https://www.turners.co.nz/General-Goods/Search/electronics/other/28214807" TargetMode="External" Id="rId2"/><Relationship Type="http://schemas.openxmlformats.org/officeDocument/2006/relationships/hyperlink" Target="https://www.turners.co.nz/General-Goods/Search/electronics/other/28214914" TargetMode="External" Id="rId3"/><Relationship Type="http://schemas.openxmlformats.org/officeDocument/2006/relationships/hyperlink" Target="https://www.turners.co.nz/General-Goods/Search/machinery/parts/28380778" TargetMode="External" Id="rId4"/><Relationship Type="http://schemas.openxmlformats.org/officeDocument/2006/relationships/hyperlink" Target="https://www.turners.co.nz/General-Goods/Search/house--garden/carpets-rugs--curtains/27583503" TargetMode="External" Id="rId5"/><Relationship Type="http://schemas.openxmlformats.org/officeDocument/2006/relationships/hyperlink" Target="https://www.turners.co.nz/General-Goods/Search/house--garden/carpets-rugs--curtains/27583428" TargetMode="External" Id="rId6"/><Relationship Type="http://schemas.openxmlformats.org/officeDocument/2006/relationships/hyperlink" Target="https://www.turners.co.nz/General-Goods/Search/house--garden/heating--cooling/27582356" TargetMode="External" Id="rId7"/><Relationship Type="http://schemas.openxmlformats.org/officeDocument/2006/relationships/hyperlink" Target="https://www.turners.co.nz/General-Goods/Search/health--beauty/other/27583535" TargetMode="External" Id="rId8"/><Relationship Type="http://schemas.openxmlformats.org/officeDocument/2006/relationships/hyperlink" Target="https://www.turners.co.nz/General-Goods/Search/health--beauty/other/27581125" TargetMode="External" Id="rId9"/><Relationship Type="http://schemas.openxmlformats.org/officeDocument/2006/relationships/hyperlink" Target="https://www.turners.co.nz/General-Goods/Search/automotive-goods/other/28063445" TargetMode="External" Id="rId10"/><Relationship Type="http://schemas.openxmlformats.org/officeDocument/2006/relationships/hyperlink" Target="https://www.turners.co.nz/General-Goods/Search/automotive-goods/other/28063180" TargetMode="External" Id="rId11"/><Relationship Type="http://schemas.openxmlformats.org/officeDocument/2006/relationships/hyperlink" Target="https://www.turners.co.nz/Trucks-Machinery/Used-Trucks-and-Machinery-for-Sale/western-star/5884ss/25214136" TargetMode="External" Id="rId12"/><Relationship Type="http://schemas.openxmlformats.org/officeDocument/2006/relationships/hyperlink" Target="https://www.turners.co.nz/buses-caravans/Used-Caravans-and-Motorhomes-for-Sale/mercedes-benz/sprinter/28170646" TargetMode="External" Id="rId13"/><Relationship Type="http://schemas.openxmlformats.org/officeDocument/2006/relationships/hyperlink" Target="https://www.turners.co.nz/buses-caravans/Used-Caravans-and-Motorhomes-for-Sale/mercedes-benz/sprinter/28170111" TargetMode="External" Id="rId14"/><Relationship Type="http://schemas.openxmlformats.org/officeDocument/2006/relationships/hyperlink" Target="https://www.turners.co.nz/buses-caravans/Used-Caravans-and-Motorhomes-for-Sale/mercedes-benz/sprinter/28227232" TargetMode="External" Id="rId15"/></Relationships>
</file>

<file path=xl/worksheets/sheet1.xml><?xml version="1.0" encoding="utf-8"?>
<worksheet xmlns="http://schemas.openxmlformats.org/spreadsheetml/2006/main">
  <sheetPr>
    <outlinePr summaryBelow="1" summaryRight="1"/>
    <pageSetUpPr/>
  </sheetPr>
  <dimension ref="A1:O24"/>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EX Commercial Aviation - IPn920 Turbo - 900 MHz 1.2 Mbps Wireless Gateway</t>
        </is>
      </c>
      <c r="D10" s="10" t="n">
        <v>173</v>
      </c>
      <c r="E10" s="10" t="n"/>
      <c r="F10" s="8" t="inlineStr">
        <is>
          <t>Very Tidy</t>
        </is>
      </c>
      <c r="G10" s="8" t="n">
        <v>7</v>
      </c>
      <c r="H10" s="8" t="inlineStr">
        <is>
          <t>low</t>
        </is>
      </c>
      <c r="I10" s="10" t="n">
        <v>800</v>
      </c>
      <c r="J10" s="10" t="n">
        <v>220</v>
      </c>
      <c r="K10" s="10">
        <f>IF(D10&lt;&gt;"",D10*(1+$B$4),IF(E10&lt;&gt;"",E10,""))</f>
        <v/>
      </c>
      <c r="L10" s="10">
        <f>IF(J10&lt;&gt;"",J10*(1-$B$5)-$B$6,"")</f>
        <v/>
      </c>
      <c r="M10" s="10">
        <f>IF(AND(K10&lt;&gt;"",L10&lt;&gt;""),L10-K10,"")</f>
        <v/>
      </c>
      <c r="N10" s="11">
        <f>IFERROR(M10/K10,"")</f>
        <v/>
      </c>
      <c r="O10" s="8" t="inlineStr">
        <is>
          <t>Reserve: No Reserve; Closes 16 Aug 26</t>
        </is>
      </c>
    </row>
    <row r="11">
      <c r="A11" s="8" t="inlineStr">
        <is>
          <t>Electronics &amp; Tech</t>
        </is>
      </c>
      <c r="B11" s="8" t="inlineStr">
        <is>
          <t>Turners</t>
        </is>
      </c>
      <c r="C11" s="9" t="inlineStr">
        <is>
          <t>EX Commercial Aviation - IPn920 Turbo - 900 MHz 1.2 Mbps Wireless Gateway</t>
        </is>
      </c>
      <c r="D11" s="10" t="n">
        <v>173</v>
      </c>
      <c r="E11" s="10" t="n"/>
      <c r="F11" s="8" t="inlineStr">
        <is>
          <t>Very Tidy</t>
        </is>
      </c>
      <c r="G11" s="8" t="n">
        <v>7</v>
      </c>
      <c r="H11" s="8" t="inlineStr">
        <is>
          <t>low</t>
        </is>
      </c>
      <c r="I11" s="10" t="n">
        <v>800</v>
      </c>
      <c r="J11" s="10" t="n">
        <v>220</v>
      </c>
      <c r="K11" s="10">
        <f>IF(D11&lt;&gt;"",D11*(1+$B$4),IF(E11&lt;&gt;"",E11,""))</f>
        <v/>
      </c>
      <c r="L11" s="10">
        <f>IF(J11&lt;&gt;"",J11*(1-$B$5)-$B$6,"")</f>
        <v/>
      </c>
      <c r="M11" s="10">
        <f>IF(AND(K11&lt;&gt;"",L11&lt;&gt;""),L11-K11,"")</f>
        <v/>
      </c>
      <c r="N11" s="11">
        <f>IFERROR(M11/K11,"")</f>
        <v/>
      </c>
      <c r="O11" s="8" t="inlineStr">
        <is>
          <t>Reserve: No Reserve; Closes 16 Aug 26</t>
        </is>
      </c>
    </row>
    <row r="12">
      <c r="A12" s="8" t="inlineStr">
        <is>
          <t>Electronics &amp; Tech</t>
        </is>
      </c>
      <c r="B12" s="8" t="inlineStr">
        <is>
          <t>Turners</t>
        </is>
      </c>
      <c r="C12" s="9" t="inlineStr">
        <is>
          <t>EX Commercial Aviation - x4 TRUSENSE S200 Laser-based Distance Meters &amp; Case</t>
        </is>
      </c>
      <c r="D12" s="10" t="n">
        <v>380</v>
      </c>
      <c r="E12" s="10" t="n"/>
      <c r="F12" s="8" t="inlineStr">
        <is>
          <t>Very Tidy</t>
        </is>
      </c>
      <c r="G12" s="8" t="n">
        <v>5</v>
      </c>
      <c r="H12" s="8" t="inlineStr">
        <is>
          <t>low</t>
        </is>
      </c>
      <c r="I12" s="10" t="n">
        <v>1200</v>
      </c>
      <c r="J12" s="10" t="n">
        <v>300</v>
      </c>
      <c r="K12" s="10">
        <f>IF(D12&lt;&gt;"",D12*(1+$B$4),IF(E12&lt;&gt;"",E12,""))</f>
        <v/>
      </c>
      <c r="L12" s="10">
        <f>IF(J12&lt;&gt;"",J12*(1-$B$5)-$B$6,"")</f>
        <v/>
      </c>
      <c r="M12" s="10">
        <f>IF(AND(K12&lt;&gt;"",L12&lt;&gt;""),L12-K12,"")</f>
        <v/>
      </c>
      <c r="N12" s="11">
        <f>IFERROR(M12/K12,"")</f>
        <v/>
      </c>
      <c r="O12" s="8" t="inlineStr">
        <is>
          <t>Reserve: unknown; Closes 16 Aug 26</t>
        </is>
      </c>
    </row>
    <row r="13">
      <c r="A13" s="8" t="inlineStr">
        <is>
          <t>Machinery &amp; Tools</t>
        </is>
      </c>
      <c r="B13" s="8" t="inlineStr">
        <is>
          <t>Turners</t>
        </is>
      </c>
      <c r="C13" s="9" t="inlineStr">
        <is>
          <t>2008 Isuzu FVZ roof kit</t>
        </is>
      </c>
      <c r="D13" s="10" t="n">
        <v>288</v>
      </c>
      <c r="E13" s="10" t="n"/>
      <c r="F13" s="8" t="inlineStr">
        <is>
          <t>Tidy</t>
        </is>
      </c>
      <c r="G13" s="8" t="n">
        <v>4</v>
      </c>
      <c r="H13" s="8" t="inlineStr">
        <is>
          <t>low</t>
        </is>
      </c>
      <c r="I13" s="10" t="n">
        <v>450</v>
      </c>
      <c r="J13" s="10" t="n">
        <v>220</v>
      </c>
      <c r="K13" s="10">
        <f>IF(D13&lt;&gt;"",D13*(1+$B$4),IF(E13&lt;&gt;"",E13,""))</f>
        <v/>
      </c>
      <c r="L13" s="10">
        <f>IF(J13&lt;&gt;"",J13*(1-$B$5)-$B$6,"")</f>
        <v/>
      </c>
      <c r="M13" s="10">
        <f>IF(AND(K13&lt;&gt;"",L13&lt;&gt;""),L13-K13,"")</f>
        <v/>
      </c>
      <c r="N13" s="11">
        <f>IFERROR(M13/K13,"")</f>
        <v/>
      </c>
      <c r="O13" s="8" t="inlineStr">
        <is>
          <t>No comparable item found this run -- standalone assessment only; Reserve: No Reserve; Closes 16 Aug 26</t>
        </is>
      </c>
    </row>
    <row r="14">
      <c r="A14" s="8" t="inlineStr">
        <is>
          <t>House &amp; Garden</t>
        </is>
      </c>
      <c r="B14" s="8" t="inlineStr">
        <is>
          <t>Turners</t>
        </is>
      </c>
      <c r="C14" s="9" t="inlineStr">
        <is>
          <t>3x Windoware Extendable Curtain Tracks and 1x Duster</t>
        </is>
      </c>
      <c r="D14" s="10" t="n">
        <v>46</v>
      </c>
      <c r="E14" s="10" t="n"/>
      <c r="F14" s="8" t="inlineStr">
        <is>
          <t>Excellent</t>
        </is>
      </c>
      <c r="G14" s="8" t="n">
        <v>8</v>
      </c>
      <c r="H14" s="8" t="inlineStr">
        <is>
          <t>medium</t>
        </is>
      </c>
      <c r="I14" s="10" t="n">
        <v>55</v>
      </c>
      <c r="J14" s="10" t="n">
        <v>38</v>
      </c>
      <c r="K14" s="10">
        <f>IF(D14&lt;&gt;"",D14*(1+$B$4),IF(E14&lt;&gt;"",E14,""))</f>
        <v/>
      </c>
      <c r="L14" s="10">
        <f>IF(J14&lt;&gt;"",J14*(1-$B$5)-$B$6,"")</f>
        <v/>
      </c>
      <c r="M14" s="10">
        <f>IF(AND(K14&lt;&gt;"",L14&lt;&gt;""),L14-K14,"")</f>
        <v/>
      </c>
      <c r="N14" s="11">
        <f>IFERROR(M14/K14,"")</f>
        <v/>
      </c>
      <c r="O14" s="8" t="inlineStr">
        <is>
          <t>Reserve: No Reserve; Closes 16 Aug 26</t>
        </is>
      </c>
    </row>
    <row r="15">
      <c r="A15" s="8" t="inlineStr">
        <is>
          <t>House &amp; Garden</t>
        </is>
      </c>
      <c r="B15" s="8" t="inlineStr">
        <is>
          <t>Turners</t>
        </is>
      </c>
      <c r="C15" s="9" t="inlineStr">
        <is>
          <t>3x Windoware Admire Extendable Curtain Tracks</t>
        </is>
      </c>
      <c r="D15" s="10" t="n">
        <v>23</v>
      </c>
      <c r="E15" s="10" t="n"/>
      <c r="F15" s="8" t="inlineStr">
        <is>
          <t>Excellent</t>
        </is>
      </c>
      <c r="G15" s="8" t="n">
        <v>7</v>
      </c>
      <c r="H15" s="8" t="inlineStr">
        <is>
          <t>medium</t>
        </is>
      </c>
      <c r="I15" s="10" t="n">
        <v>35</v>
      </c>
      <c r="J15" s="10" t="n">
        <v>28</v>
      </c>
      <c r="K15" s="10">
        <f>IF(D15&lt;&gt;"",D15*(1+$B$4),IF(E15&lt;&gt;"",E15,""))</f>
        <v/>
      </c>
      <c r="L15" s="10">
        <f>IF(J15&lt;&gt;"",J15*(1-$B$5)-$B$6,"")</f>
        <v/>
      </c>
      <c r="M15" s="10">
        <f>IF(AND(K15&lt;&gt;"",L15&lt;&gt;""),L15-K15,"")</f>
        <v/>
      </c>
      <c r="N15" s="11">
        <f>IFERROR(M15/K15,"")</f>
        <v/>
      </c>
      <c r="O15" s="8" t="inlineStr">
        <is>
          <t>Reserve: No Reserve; Closes 16 Aug 26</t>
        </is>
      </c>
    </row>
    <row r="16">
      <c r="A16" s="8" t="inlineStr">
        <is>
          <t>House &amp; Garden</t>
        </is>
      </c>
      <c r="B16" s="8" t="inlineStr">
        <is>
          <t>Turners</t>
        </is>
      </c>
      <c r="C16" s="9" t="inlineStr">
        <is>
          <t>Goldair wall heater</t>
        </is>
      </c>
      <c r="D16" s="10" t="n">
        <v>35</v>
      </c>
      <c r="E16" s="10" t="n"/>
      <c r="F16" s="8" t="inlineStr">
        <is>
          <t>Very Tidy</t>
        </is>
      </c>
      <c r="G16" s="8" t="n">
        <v>7</v>
      </c>
      <c r="H16" s="8" t="inlineStr">
        <is>
          <t>high</t>
        </is>
      </c>
      <c r="I16" s="10" t="n">
        <v>135</v>
      </c>
      <c r="J16" s="10" t="n">
        <v>70</v>
      </c>
      <c r="K16" s="10">
        <f>IF(D16&lt;&gt;"",D16*(1+$B$4),IF(E16&lt;&gt;"",E16,""))</f>
        <v/>
      </c>
      <c r="L16" s="10">
        <f>IF(J16&lt;&gt;"",J16*(1-$B$5)-$B$6,"")</f>
        <v/>
      </c>
      <c r="M16" s="10">
        <f>IF(AND(K16&lt;&gt;"",L16&lt;&gt;""),L16-K16,"")</f>
        <v/>
      </c>
      <c r="N16" s="11">
        <f>IFERROR(M16/K16,"")</f>
        <v/>
      </c>
      <c r="O16" s="8" t="inlineStr">
        <is>
          <t>Reserve: No Reserve; Closes 16 Aug 26</t>
        </is>
      </c>
    </row>
    <row r="17">
      <c r="A17" s="8" t="inlineStr">
        <is>
          <t>Health &amp; Beauty</t>
        </is>
      </c>
      <c r="B17" s="8" t="inlineStr">
        <is>
          <t>Turners</t>
        </is>
      </c>
      <c r="C17" s="9" t="inlineStr">
        <is>
          <t>2x First Aid Kits</t>
        </is>
      </c>
      <c r="D17" s="10" t="n">
        <v>18</v>
      </c>
      <c r="E17" s="10" t="n"/>
      <c r="F17" s="8" t="inlineStr">
        <is>
          <t>Very Tidy</t>
        </is>
      </c>
      <c r="G17" s="8" t="n">
        <v>3</v>
      </c>
      <c r="H17" s="8" t="inlineStr">
        <is>
          <t>low</t>
        </is>
      </c>
      <c r="I17" s="10" t="n">
        <v>50</v>
      </c>
      <c r="J17" s="10" t="n">
        <v>15</v>
      </c>
      <c r="K17" s="10">
        <f>IF(D17&lt;&gt;"",D17*(1+$B$4),IF(E17&lt;&gt;"",E17,""))</f>
        <v/>
      </c>
      <c r="L17" s="10">
        <f>IF(J17&lt;&gt;"",J17*(1-$B$5)-$B$6,"")</f>
        <v/>
      </c>
      <c r="M17" s="10">
        <f>IF(AND(K17&lt;&gt;"",L17&lt;&gt;""),L17-K17,"")</f>
        <v/>
      </c>
      <c r="N17" s="11">
        <f>IFERROR(M17/K17,"")</f>
        <v/>
      </c>
      <c r="O17" s="8" t="inlineStr">
        <is>
          <t>No comparable item found this run -- standalone assessment only; Reserve: No Reserve; Closes 16 Aug 26</t>
        </is>
      </c>
    </row>
    <row r="18">
      <c r="A18" s="8" t="inlineStr">
        <is>
          <t>Health &amp; Beauty</t>
        </is>
      </c>
      <c r="B18" s="8" t="inlineStr">
        <is>
          <t>Turners</t>
        </is>
      </c>
      <c r="C18" s="9" t="inlineStr">
        <is>
          <t>Pomona Selfgard 3Ply Disposable Face Masks - 40x Packs</t>
        </is>
      </c>
      <c r="D18" s="10" t="n">
        <v>23</v>
      </c>
      <c r="E18" s="10" t="n"/>
      <c r="F18" s="8" t="inlineStr">
        <is>
          <t>Excellent</t>
        </is>
      </c>
      <c r="G18" s="8" t="n">
        <v>3</v>
      </c>
      <c r="H18" s="8" t="inlineStr">
        <is>
          <t>low</t>
        </is>
      </c>
      <c r="I18" s="10" t="n">
        <v>80</v>
      </c>
      <c r="J18" s="10" t="n">
        <v>5</v>
      </c>
      <c r="K18" s="10">
        <f>IF(D18&lt;&gt;"",D18*(1+$B$4),IF(E18&lt;&gt;"",E18,""))</f>
        <v/>
      </c>
      <c r="L18" s="10">
        <f>IF(J18&lt;&gt;"",J18*(1-$B$5)-$B$6,"")</f>
        <v/>
      </c>
      <c r="M18" s="10">
        <f>IF(AND(K18&lt;&gt;"",L18&lt;&gt;""),L18-K18,"")</f>
        <v/>
      </c>
      <c r="N18" s="11">
        <f>IFERROR(M18/K18,"")</f>
        <v/>
      </c>
      <c r="O18" s="8" t="inlineStr">
        <is>
          <t>No comparable item found this run -- standalone assessment only; Reserve: No Reserve; Closes 16 Aug 26</t>
        </is>
      </c>
    </row>
    <row r="19">
      <c r="A19" s="8" t="inlineStr">
        <is>
          <t>Automotive Parts</t>
        </is>
      </c>
      <c r="B19" s="8" t="inlineStr">
        <is>
          <t>Turners</t>
        </is>
      </c>
      <c r="C19" s="9" t="inlineStr">
        <is>
          <t>Cooling System Flush</t>
        </is>
      </c>
      <c r="D19" s="10" t="n">
        <v>1</v>
      </c>
      <c r="E19" s="10" t="n"/>
      <c r="F19" s="8" t="inlineStr">
        <is>
          <t>Average</t>
        </is>
      </c>
      <c r="G19" s="8" t="n">
        <v>6</v>
      </c>
      <c r="H19" s="8" t="inlineStr">
        <is>
          <t>low</t>
        </is>
      </c>
      <c r="I19" s="10" t="n">
        <v>420</v>
      </c>
      <c r="J19" s="10" t="n">
        <v>80</v>
      </c>
      <c r="K19" s="10">
        <f>IF(D19&lt;&gt;"",D19*(1+$B$4),IF(E19&lt;&gt;"",E19,""))</f>
        <v/>
      </c>
      <c r="L19" s="10">
        <f>IF(J19&lt;&gt;"",J19*(1-$B$5)-$B$6,"")</f>
        <v/>
      </c>
      <c r="M19" s="10">
        <f>IF(AND(K19&lt;&gt;"",L19&lt;&gt;""),L19-K19,"")</f>
        <v/>
      </c>
      <c r="N19" s="11">
        <f>IFERROR(M19/K19,"")</f>
        <v/>
      </c>
      <c r="O19" s="8" t="inlineStr">
        <is>
          <t>Reserve: unknown; Closes 17 Aug 26</t>
        </is>
      </c>
    </row>
    <row r="20">
      <c r="A20" s="8" t="inlineStr">
        <is>
          <t>Automotive Parts</t>
        </is>
      </c>
      <c r="B20" s="8" t="inlineStr">
        <is>
          <t>Turners</t>
        </is>
      </c>
      <c r="C20" s="9" t="inlineStr">
        <is>
          <t>Cooling System Conditioner</t>
        </is>
      </c>
      <c r="D20" s="10" t="n">
        <v>1</v>
      </c>
      <c r="E20" s="10" t="n"/>
      <c r="F20" s="8" t="inlineStr">
        <is>
          <t>Average</t>
        </is>
      </c>
      <c r="G20" s="8" t="n">
        <v>6</v>
      </c>
      <c r="H20" s="8" t="inlineStr">
        <is>
          <t>low</t>
        </is>
      </c>
      <c r="I20" s="10" t="n">
        <v>420</v>
      </c>
      <c r="J20" s="10" t="n">
        <v>80</v>
      </c>
      <c r="K20" s="10">
        <f>IF(D20&lt;&gt;"",D20*(1+$B$4),IF(E20&lt;&gt;"",E20,""))</f>
        <v/>
      </c>
      <c r="L20" s="10">
        <f>IF(J20&lt;&gt;"",J20*(1-$B$5)-$B$6,"")</f>
        <v/>
      </c>
      <c r="M20" s="10">
        <f>IF(AND(K20&lt;&gt;"",L20&lt;&gt;""),L20-K20,"")</f>
        <v/>
      </c>
      <c r="N20" s="11">
        <f>IFERROR(M20/K20,"")</f>
        <v/>
      </c>
      <c r="O20" s="8" t="inlineStr">
        <is>
          <t>Reserve: unknown; Closes 17 Aug 26</t>
        </is>
      </c>
    </row>
    <row r="21">
      <c r="A21" s="8" t="inlineStr">
        <is>
          <t>Trucks &amp; Machinery</t>
        </is>
      </c>
      <c r="B21" s="8" t="inlineStr">
        <is>
          <t>Turners</t>
        </is>
      </c>
      <c r="C21" s="9" t="inlineStr">
        <is>
          <t>2013 Western Star 5884SS Logger</t>
        </is>
      </c>
      <c r="D21" s="10" t="n">
        <v>1</v>
      </c>
      <c r="E21" s="10" t="n"/>
      <c r="F21" s="8" t="inlineStr">
        <is>
          <t>Poor Cab Condition Poor Interior Condition Poor Canopy Removable No JLoader Tracks No Tail Lift No Meatrails No Holding Tanks No Twistlock No Trailer Hydraulics No Fuel Diesel Transmission Manual Gears 18 Chassis Number BN6630 Tyre Size Axle 1 11R22.5 Tyre Size Axle 2 11R22.5 Tyre Size Axle 3 11R22.5 Tyre Size Axle 4 11R22.5 Wheel Base 6600 mm Brake Type Back Drum Brake Type Front Drum Brake System Full Air Front Suspension Spring Rear Suspension Air/Spring Front Axle Rating 14200 Rear Axle Rati</t>
        </is>
      </c>
      <c r="G21" s="8" t="n">
        <v>1</v>
      </c>
      <c r="H21" s="8" t="inlineStr">
        <is>
          <t>low</t>
        </is>
      </c>
      <c r="I21" s="10" t="n"/>
      <c r="J21" s="10" t="n"/>
      <c r="K21" s="10">
        <f>IF(D21&lt;&gt;"",D21*(1+$B$4),IF(E21&lt;&gt;"",E21,""))</f>
        <v/>
      </c>
      <c r="L21" s="10">
        <f>IF(J21&lt;&gt;"",J21*(1-$B$5)-$B$6,"")</f>
        <v/>
      </c>
      <c r="M21" s="10">
        <f>IF(AND(K21&lt;&gt;"",L21&lt;&gt;""),L21-K21,"")</f>
        <v/>
      </c>
      <c r="N21" s="11">
        <f>IFERROR(M21/K21,"")</f>
        <v/>
      </c>
      <c r="O21" s="8" t="inlineStr">
        <is>
          <t>No comparable item found this run -- standalone assessment only</t>
        </is>
      </c>
    </row>
    <row r="22">
      <c r="A22" s="8" t="inlineStr">
        <is>
          <t>Trailers &amp; Caravans</t>
        </is>
      </c>
      <c r="B22" s="8" t="inlineStr">
        <is>
          <t>Turners</t>
        </is>
      </c>
      <c r="C22" s="9" t="inlineStr">
        <is>
          <t>2018 Mercedes-Benz Sprinter 513 CAMP LWB 5T A AP Motorhome</t>
        </is>
      </c>
      <c r="D22" s="10" t="n"/>
      <c r="E22" s="10" t="n"/>
      <c r="F22" s="8" t="inlineStr">
        <is>
          <t>Average Cab Condition Average Interior Condition Average Body Length 7300 mm Canopy Removable No JLoader Tracks No Tail Lift No Meatrails No Holding Tanks No Twistlock No Trailer Hydraulics No Mechanical Condition Average Fuel Diesel Engine Power 127 Engine Power Unit hp Transmission Automatic Chassis Number WDB9061552N732834 Tyre Size Axle 1 205/75R16C Tyre Size Axle 2 205/75R16C Wheel Base 4325 mm Brake Type Back Drum Brake Type Front Disc Front Suspension Spring Rear Suspension Spring Front A</t>
        </is>
      </c>
      <c r="G22" s="8" t="n">
        <v>6</v>
      </c>
      <c r="H22" s="8" t="inlineStr">
        <is>
          <t>medium</t>
        </is>
      </c>
      <c r="I22" s="10" t="n">
        <v>85000</v>
      </c>
      <c r="J22" s="10" t="n">
        <v>48000</v>
      </c>
      <c r="K22" s="10">
        <f>IF(D22&lt;&gt;"",D22*(1+$B$4),IF(E22&lt;&gt;"",E22,""))</f>
        <v/>
      </c>
      <c r="L22" s="10">
        <f>IF(J22&lt;&gt;"",J22*(1-$B$5)-$B$6,"")</f>
        <v/>
      </c>
      <c r="M22" s="10">
        <f>IF(AND(K22&lt;&gt;"",L22&lt;&gt;""),L22-K22,"")</f>
        <v/>
      </c>
      <c r="N22" s="11">
        <f>IFERROR(M22/K22,"")</f>
        <v/>
      </c>
      <c r="O22" s="8" t="inlineStr"/>
    </row>
    <row r="23">
      <c r="A23" s="8" t="inlineStr">
        <is>
          <t>Trailers &amp; Caravans</t>
        </is>
      </c>
      <c r="B23" s="8" t="inlineStr">
        <is>
          <t>Turners</t>
        </is>
      </c>
      <c r="C23" s="9" t="inlineStr">
        <is>
          <t>2018 Mercedes-Benz Sprinter 513 CAMP LWB 5T A AP Motorhome</t>
        </is>
      </c>
      <c r="D23" s="10" t="n"/>
      <c r="E23" s="10" t="n"/>
      <c r="F23" s="8" t="inlineStr">
        <is>
          <t>Average Cab Condition Average Interior Condition Average Body Length 7300 mm Canopy Removable No JLoader Tracks No Tail Lift No Meatrails No Holding Tanks No Twistlock No Trailer Hydraulics No Mechanical Condition Average Fuel Diesel Engine Power 127 Engine Power Unit hp Transmission Automatic Chassis Number WDB9061552N734400 Wheel Config 4X2 Tyre Size Axle 1 205/75R16C Tyre Size Axle 2 205/75R16C Wheel Base 4325 mm Brake Type Back Drum Brake Type Front Disc Front Suspension Spring Rear Suspensi</t>
        </is>
      </c>
      <c r="G23" s="8" t="n">
        <v>6</v>
      </c>
      <c r="H23" s="8" t="inlineStr">
        <is>
          <t>medium</t>
        </is>
      </c>
      <c r="I23" s="10" t="n">
        <v>85000</v>
      </c>
      <c r="J23" s="10" t="n">
        <v>48000</v>
      </c>
      <c r="K23" s="10">
        <f>IF(D23&lt;&gt;"",D23*(1+$B$4),IF(E23&lt;&gt;"",E23,""))</f>
        <v/>
      </c>
      <c r="L23" s="10">
        <f>IF(J23&lt;&gt;"",J23*(1-$B$5)-$B$6,"")</f>
        <v/>
      </c>
      <c r="M23" s="10">
        <f>IF(AND(K23&lt;&gt;"",L23&lt;&gt;""),L23-K23,"")</f>
        <v/>
      </c>
      <c r="N23" s="11">
        <f>IFERROR(M23/K23,"")</f>
        <v/>
      </c>
      <c r="O23" s="8" t="inlineStr"/>
    </row>
    <row r="24">
      <c r="A24" s="8" t="inlineStr">
        <is>
          <t>Trailers &amp; Caravans</t>
        </is>
      </c>
      <c r="B24" s="8" t="inlineStr">
        <is>
          <t>Turners</t>
        </is>
      </c>
      <c r="C24" s="9" t="inlineStr">
        <is>
          <t>2017 Mercedes-Benz Sprinter 513 CAMP LWB 5T A AP Motorhome</t>
        </is>
      </c>
      <c r="D24" s="10" t="n"/>
      <c r="E24" s="10" t="n"/>
      <c r="F24" s="8" t="inlineStr"/>
      <c r="G24" s="8" t="n">
        <v>5</v>
      </c>
      <c r="H24" s="8" t="inlineStr">
        <is>
          <t>low</t>
        </is>
      </c>
      <c r="I24" s="10" t="n">
        <v>85000</v>
      </c>
      <c r="J24" s="10" t="n">
        <v>42000</v>
      </c>
      <c r="K24" s="10">
        <f>IF(D24&lt;&gt;"",D24*(1+$B$4),IF(E24&lt;&gt;"",E24,""))</f>
        <v/>
      </c>
      <c r="L24" s="10">
        <f>IF(J24&lt;&gt;"",J24*(1-$B$5)-$B$6,"")</f>
        <v/>
      </c>
      <c r="M24" s="10">
        <f>IF(AND(K24&lt;&gt;"",L24&lt;&gt;""),L24-K24,"")</f>
        <v/>
      </c>
      <c r="N24" s="11">
        <f>IFERROR(M24/K24,"")</f>
        <v/>
      </c>
      <c r="O24" s="8" t="inlineStr"/>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2026-08-10T10:27:28Z</dcterms:created>
  <dcterms:modified xmlns:dcterms="http://purl.org/dc/terms/" xmlns:xsi="http://www.w3.org/2001/XMLSchema-instance" xsi:type="dcterms:W3CDTF">2026-08-10T10:27:28Z</dcterms:modified>
</cp:coreProperties>
</file>