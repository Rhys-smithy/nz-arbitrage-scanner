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8214914" TargetMode="External" Id="rId1"/><Relationship Type="http://schemas.openxmlformats.org/officeDocument/2006/relationships/hyperlink" Target="https://www.thorntons.net.nz/auctions/detail/bw133178" TargetMode="External" Id="rId2"/><Relationship Type="http://schemas.openxmlformats.org/officeDocument/2006/relationships/hyperlink" Target="https://www.turners.co.nz/General-Goods/Search/electronics/other/28214784" TargetMode="External" Id="rId3"/><Relationship Type="http://schemas.openxmlformats.org/officeDocument/2006/relationships/hyperlink" Target="https://www.turners.co.nz/General-Goods/Search/sport--leisure/martial-arts/26161086" TargetMode="External" Id="rId4"/><Relationship Type="http://schemas.openxmlformats.org/officeDocument/2006/relationships/hyperlink" Target="https://www.turners.co.nz/General-Goods/Search/sport--leisure/martial-arts/28181133" TargetMode="External" Id="rId5"/><Relationship Type="http://schemas.openxmlformats.org/officeDocument/2006/relationships/hyperlink" Target="https://www.turners.co.nz/General-Goods/Search/sport--leisure/martial-arts/28181146" TargetMode="External" Id="rId6"/><Relationship Type="http://schemas.openxmlformats.org/officeDocument/2006/relationships/hyperlink" Target="https://www.turners.co.nz/General-Goods/Search/house--garden/gardening-equipment/25258369" TargetMode="External" Id="rId7"/><Relationship Type="http://schemas.openxmlformats.org/officeDocument/2006/relationships/hyperlink" Target="https://www.turners.co.nz/General-Goods/Search/house--garden/gardening-equipment/25258463" TargetMode="External" Id="rId8"/><Relationship Type="http://schemas.openxmlformats.org/officeDocument/2006/relationships/hyperlink" Target="https://www.turners.co.nz/General-Goods/Search/house--garden/gardening-equipment/25258459" TargetMode="External" Id="rId9"/><Relationship Type="http://schemas.openxmlformats.org/officeDocument/2006/relationships/hyperlink" Target="https://www.turners.co.nz/General-Goods/Search/health--beauty/fragrances/27092645" TargetMode="External" Id="rId10"/><Relationship Type="http://schemas.openxmlformats.org/officeDocument/2006/relationships/hyperlink" Target="https://www.turners.co.nz/General-Goods/Search/health--beauty/fragrances/27092697" TargetMode="External" Id="rId11"/><Relationship Type="http://schemas.openxmlformats.org/officeDocument/2006/relationships/hyperlink" Target="https://www.turners.co.nz/General-Goods/Search/health--beauty/fragrances/27092700" TargetMode="External" Id="rId12"/><Relationship Type="http://schemas.openxmlformats.org/officeDocument/2006/relationships/hyperlink" Target="https://www.turners.co.nz/General-Goods/Search/automotive-goods/other/25042844" TargetMode="External" Id="rId13"/><Relationship Type="http://schemas.openxmlformats.org/officeDocument/2006/relationships/hyperlink" Target="https://www.turners.co.nz/General-Goods/Search/automotive-goods/car-parts/25042579" TargetMode="External" Id="rId14"/><Relationship Type="http://schemas.openxmlformats.org/officeDocument/2006/relationships/hyperlink" Target="https://www.turners.co.nz/General-Goods/Search/automotive-goods/other/25043951" TargetMode="External" Id="rId15"/><Relationship Type="http://schemas.openxmlformats.org/officeDocument/2006/relationships/hyperlink" Target="https://www.turners.co.nz/Cars/Used-Cars-for-Sale/nissan/serena/27999104" TargetMode="External" Id="rId16"/><Relationship Type="http://schemas.openxmlformats.org/officeDocument/2006/relationships/hyperlink" Target="https://www.turners.co.nz/Cars/Used-Cars-for-Sale/nissan/serena/28056179" TargetMode="External" Id="rId17"/><Relationship Type="http://schemas.openxmlformats.org/officeDocument/2006/relationships/hyperlink" Target="https://www.turners.co.nz/Cars/Used-Cars-for-Sale/toyota/vellfire/28051382" TargetMode="External" Id="rId18"/><Relationship Type="http://schemas.openxmlformats.org/officeDocument/2006/relationships/hyperlink" Target="https://www.turners.co.nz/Trucks-Machinery/Used-Trucks-and-Machinery-for-Sale/tennant/t3-scrubber/28292312" TargetMode="External" Id="rId19"/><Relationship Type="http://schemas.openxmlformats.org/officeDocument/2006/relationships/hyperlink" Target="https://www.thorntons.net.nz/auctions/detail/bw133176" TargetMode="External" Id="rId20"/><Relationship Type="http://schemas.openxmlformats.org/officeDocument/2006/relationships/hyperlink" Target="https://www.thorntons.net.nz/auctions/detail/bw13317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EX Commercial Aviation - x4 TRUSENSE S200 Laser-based Distance Meters &amp; Case</t>
        </is>
      </c>
      <c r="D10" s="10" t="n"/>
      <c r="E10" s="10" t="n"/>
      <c r="F10" s="8" t="inlineStr">
        <is>
          <t>Very Tidy</t>
        </is>
      </c>
      <c r="G10" s="8" t="n">
        <v>5</v>
      </c>
      <c r="H10" s="8" t="inlineStr">
        <is>
          <t>low</t>
        </is>
      </c>
      <c r="I10" s="10" t="n">
        <v>3200</v>
      </c>
      <c r="J10" s="10" t="n">
        <v>800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Electronics &amp; Tech</t>
        </is>
      </c>
      <c r="B11" s="8" t="inlineStr">
        <is>
          <t>Thorntons</t>
        </is>
      </c>
      <c r="C11" s="9" t="inlineStr">
        <is>
          <t>New Tech &amp; Electronics Auction 20.8.26 TU133178</t>
        </is>
      </c>
      <c r="D11" s="10" t="n"/>
      <c r="E11" s="10" t="n"/>
      <c r="F11" s="8" t="inlineStr"/>
      <c r="G11" s="8" t="n">
        <v>5</v>
      </c>
      <c r="H11" s="8" t="inlineStr">
        <is>
          <t>medium</t>
        </is>
      </c>
      <c r="I11" s="10" t="n"/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Caution: no description text; generic title only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EX Commercial Aviation - IPn920 Turbo - 900 MHz 1.2 Mbps Wireless Gateway</t>
        </is>
      </c>
      <c r="D12" s="10" t="n"/>
      <c r="E12" s="10" t="n"/>
      <c r="F12" s="8" t="inlineStr">
        <is>
          <t>Very Tidy</t>
        </is>
      </c>
      <c r="G12" s="8" t="n">
        <v>4</v>
      </c>
      <c r="H12" s="8" t="inlineStr">
        <is>
          <t>low</t>
        </is>
      </c>
      <c r="I12" s="10" t="n">
        <v>1200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Kombat Spirit Judo Kit - White - Size  *NEW*</t>
        </is>
      </c>
      <c r="D13" s="10" t="n"/>
      <c r="E13" s="10" t="n"/>
      <c r="F13" s="8" t="inlineStr">
        <is>
          <t>New</t>
        </is>
      </c>
      <c r="G13" s="8" t="n"/>
      <c r="H13" s="8" t="inlineStr"/>
      <c r="I13" s="10" t="n"/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Kombat Spirit Judo Kit - White 350G - Size 5/180 *NEW - RRP $120*</t>
        </is>
      </c>
      <c r="D14" s="10" t="n"/>
      <c r="E14" s="10" t="n"/>
      <c r="F14" s="8" t="inlineStr">
        <is>
          <t>New</t>
        </is>
      </c>
      <c r="G14" s="8" t="n"/>
      <c r="H14" s="8" t="inlineStr"/>
      <c r="I14" s="10" t="n"/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Sport &amp; Leisure</t>
        </is>
      </c>
      <c r="B15" s="8" t="inlineStr">
        <is>
          <t>Turners</t>
        </is>
      </c>
      <c r="C15" s="9" t="inlineStr">
        <is>
          <t>Kombat Spirit Judo Kit - White 750GSM - Size 5/180  *NEW - RRP $215*</t>
        </is>
      </c>
      <c r="D15" s="10" t="n"/>
      <c r="E15" s="10" t="n"/>
      <c r="F15" s="8" t="inlineStr">
        <is>
          <t>New</t>
        </is>
      </c>
      <c r="G15" s="8" t="n"/>
      <c r="H15" s="8" t="inlineStr"/>
      <c r="I15" s="10" t="n"/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Solo 435 Classic Backpack Sprayer</t>
        </is>
      </c>
      <c r="D16" s="10" t="n">
        <v>2</v>
      </c>
      <c r="E16" s="10" t="n"/>
      <c r="F16" s="8" t="inlineStr">
        <is>
          <t>Average</t>
        </is>
      </c>
      <c r="G16" s="8" t="n">
        <v>8</v>
      </c>
      <c r="H16" s="8" t="inlineStr">
        <is>
          <t>medium</t>
        </is>
      </c>
      <c r="I16" s="10" t="n">
        <v>95</v>
      </c>
      <c r="J16" s="10" t="n">
        <v>45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unknown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Masport Series 18 Lawnmower</t>
        </is>
      </c>
      <c r="D17" s="10" t="n">
        <v>12</v>
      </c>
      <c r="E17" s="10" t="n"/>
      <c r="F17" s="8" t="inlineStr">
        <is>
          <t>Average</t>
        </is>
      </c>
      <c r="G17" s="8" t="n">
        <v>8</v>
      </c>
      <c r="H17" s="8" t="inlineStr">
        <is>
          <t>medium</t>
        </is>
      </c>
      <c r="I17" s="10" t="n">
        <v>400</v>
      </c>
      <c r="J17" s="10" t="n">
        <v>80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unknown</t>
        </is>
      </c>
    </row>
    <row r="18">
      <c r="A18" s="8" t="inlineStr">
        <is>
          <t>House &amp; Garden</t>
        </is>
      </c>
      <c r="B18" s="8" t="inlineStr">
        <is>
          <t>Turners</t>
        </is>
      </c>
      <c r="C18" s="9" t="inlineStr">
        <is>
          <t>Masport Series 18 Lawnmower</t>
        </is>
      </c>
      <c r="D18" s="10" t="n">
        <v>24</v>
      </c>
      <c r="E18" s="10" t="n"/>
      <c r="F18" s="8" t="inlineStr">
        <is>
          <t>Average</t>
        </is>
      </c>
      <c r="G18" s="8" t="n">
        <v>6</v>
      </c>
      <c r="H18" s="8" t="inlineStr">
        <is>
          <t>medium</t>
        </is>
      </c>
      <c r="I18" s="10" t="n">
        <v>400</v>
      </c>
      <c r="J18" s="10" t="n">
        <v>65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Reserve Met; Closes unknown</t>
        </is>
      </c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Bradfield Fragrance Sachets w/ Retail Countertop Display - Frangipani</t>
        </is>
      </c>
      <c r="D19" s="10" t="n"/>
      <c r="E19" s="10" t="n"/>
      <c r="F19" s="8" t="inlineStr">
        <is>
          <t>New</t>
        </is>
      </c>
      <c r="G19" s="8" t="n">
        <v>2</v>
      </c>
      <c r="H19" s="8" t="inlineStr">
        <is>
          <t>low</t>
        </is>
      </c>
      <c r="I19" s="10" t="n">
        <v>25</v>
      </c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Health &amp; Beauty</t>
        </is>
      </c>
      <c r="B20" s="8" t="inlineStr">
        <is>
          <t>Turners</t>
        </is>
      </c>
      <c r="C20" s="9" t="inlineStr">
        <is>
          <t>Bradfield Fragrance Sachets w/ Retail Countertop Display - Floral</t>
        </is>
      </c>
      <c r="D20" s="10" t="n"/>
      <c r="E20" s="10" t="n"/>
      <c r="F20" s="8" t="inlineStr">
        <is>
          <t>New</t>
        </is>
      </c>
      <c r="G20" s="8" t="n">
        <v>2</v>
      </c>
      <c r="H20" s="8" t="inlineStr">
        <is>
          <t>low</t>
        </is>
      </c>
      <c r="I20" s="10" t="n">
        <v>25</v>
      </c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  <row r="21">
      <c r="A21" s="8" t="inlineStr">
        <is>
          <t>Health &amp; Beauty</t>
        </is>
      </c>
      <c r="B21" s="8" t="inlineStr">
        <is>
          <t>Turners</t>
        </is>
      </c>
      <c r="C21" s="9" t="inlineStr">
        <is>
          <t>Bradfield Fragrance Sachets w/ Retail Countertop Display - Floral</t>
        </is>
      </c>
      <c r="D21" s="10" t="n"/>
      <c r="E21" s="10" t="n"/>
      <c r="F21" s="8" t="inlineStr">
        <is>
          <t>New</t>
        </is>
      </c>
      <c r="G21" s="8" t="n">
        <v>2</v>
      </c>
      <c r="H21" s="8" t="inlineStr">
        <is>
          <t>low</t>
        </is>
      </c>
      <c r="I21" s="10" t="n">
        <v>25</v>
      </c>
      <c r="J21" s="10" t="n"/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/>
    </row>
    <row r="22">
      <c r="A22" s="8" t="inlineStr">
        <is>
          <t>Automotive Parts</t>
        </is>
      </c>
      <c r="B22" s="8" t="inlineStr">
        <is>
          <t>Turners</t>
        </is>
      </c>
      <c r="C22" s="9" t="inlineStr">
        <is>
          <t>Hella Red Light Lens</t>
        </is>
      </c>
      <c r="D22" s="10" t="n">
        <v>1</v>
      </c>
      <c r="E22" s="10" t="n"/>
      <c r="F22" s="8" t="inlineStr">
        <is>
          <t>Tidy</t>
        </is>
      </c>
      <c r="G22" s="8" t="n">
        <v>9</v>
      </c>
      <c r="H22" s="8" t="inlineStr">
        <is>
          <t>high</t>
        </is>
      </c>
      <c r="I22" s="10" t="n">
        <v>40</v>
      </c>
      <c r="J22" s="10" t="n">
        <v>20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Reserve: Reserve Met; Closes unknown</t>
        </is>
      </c>
    </row>
    <row r="23">
      <c r="A23" s="8" t="inlineStr">
        <is>
          <t>Automotive Parts</t>
        </is>
      </c>
      <c r="B23" s="8" t="inlineStr">
        <is>
          <t>Turners</t>
        </is>
      </c>
      <c r="C23" s="9" t="inlineStr">
        <is>
          <t>Mercedes Benz Truck Oil Filter</t>
        </is>
      </c>
      <c r="D23" s="10" t="n">
        <v>1</v>
      </c>
      <c r="E23" s="10" t="n"/>
      <c r="F23" s="8" t="inlineStr">
        <is>
          <t>As New</t>
        </is>
      </c>
      <c r="G23" s="8" t="n">
        <v>8</v>
      </c>
      <c r="H23" s="8" t="inlineStr">
        <is>
          <t>high</t>
        </is>
      </c>
      <c r="I23" s="10" t="n">
        <v>28</v>
      </c>
      <c r="J23" s="10" t="n">
        <v>16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Reserve: No Reserve; Closes unknown</t>
        </is>
      </c>
    </row>
    <row r="24">
      <c r="A24" s="8" t="inlineStr">
        <is>
          <t>Automotive Parts</t>
        </is>
      </c>
      <c r="B24" s="8" t="inlineStr">
        <is>
          <t>Turners</t>
        </is>
      </c>
      <c r="C24" s="9" t="inlineStr">
        <is>
          <t>Double-Ear Hose Clamps</t>
        </is>
      </c>
      <c r="D24" s="10" t="n">
        <v>2</v>
      </c>
      <c r="E24" s="10" t="n"/>
      <c r="F24" s="8" t="inlineStr">
        <is>
          <t>Tidy</t>
        </is>
      </c>
      <c r="G24" s="8" t="n">
        <v>8</v>
      </c>
      <c r="H24" s="8" t="inlineStr">
        <is>
          <t>high</t>
        </is>
      </c>
      <c r="I24" s="10" t="n">
        <v>120</v>
      </c>
      <c r="J24" s="10" t="n">
        <v>25</v>
      </c>
      <c r="K24" s="10">
        <f>IF(D24&lt;&gt;"",D24*(1+$B$4),IF(E24&lt;&gt;"",E24,""))</f>
        <v/>
      </c>
      <c r="L24" s="10">
        <f>IF(J24&lt;&gt;"",J24*(1-$B$5)-$B$6,"")</f>
        <v/>
      </c>
      <c r="M24" s="10">
        <f>IF(AND(K24&lt;&gt;"",L24&lt;&gt;""),L24-K24,"")</f>
        <v/>
      </c>
      <c r="N24" s="11">
        <f>IFERROR(M24/K24,"")</f>
        <v/>
      </c>
      <c r="O24" s="8" t="inlineStr">
        <is>
          <t>Reserve: Reserve Met; Closes unknown</t>
        </is>
      </c>
    </row>
    <row r="25">
      <c r="A25" s="8" t="inlineStr">
        <is>
          <t>Cars</t>
        </is>
      </c>
      <c r="B25" s="8" t="inlineStr">
        <is>
          <t>Turners</t>
        </is>
      </c>
      <c r="C25" s="9" t="inlineStr">
        <is>
          <t>2020 Nissan Serena</t>
        </is>
      </c>
      <c r="D25" s="10" t="n"/>
      <c r="E25" s="10" t="n"/>
      <c r="F25" s="8" t="inlineStr"/>
      <c r="G25" s="8" t="n">
        <v>6</v>
      </c>
      <c r="H25" s="8" t="inlineStr">
        <is>
          <t>high</t>
        </is>
      </c>
      <c r="I25" s="10" t="n"/>
      <c r="J25" s="10" t="n">
        <v>16500</v>
      </c>
      <c r="K25" s="10">
        <f>IF(D25&lt;&gt;"",D25*(1+$B$4),IF(E25&lt;&gt;"",E25,""))</f>
        <v/>
      </c>
      <c r="L25" s="10">
        <f>IF(J25&lt;&gt;"",J25*(1-$B$5)-$B$6,"")</f>
        <v/>
      </c>
      <c r="M25" s="10">
        <f>IF(AND(K25&lt;&gt;"",L25&lt;&gt;""),L25-K25,"")</f>
        <v/>
      </c>
      <c r="N25" s="11">
        <f>IFERROR(M25/K25,"")</f>
        <v/>
      </c>
      <c r="O25" s="8" t="inlineStr"/>
    </row>
    <row r="26">
      <c r="A26" s="8" t="inlineStr">
        <is>
          <t>Cars</t>
        </is>
      </c>
      <c r="B26" s="8" t="inlineStr">
        <is>
          <t>Turners</t>
        </is>
      </c>
      <c r="C26" s="9" t="inlineStr">
        <is>
          <t>2015 Nissan Serena 2WD</t>
        </is>
      </c>
      <c r="D26" s="10" t="n"/>
      <c r="E26" s="10" t="n"/>
      <c r="F26" s="8" t="inlineStr"/>
      <c r="G26" s="8" t="n">
        <v>5</v>
      </c>
      <c r="H26" s="8" t="inlineStr">
        <is>
          <t>high</t>
        </is>
      </c>
      <c r="I26" s="10" t="n"/>
      <c r="J26" s="10" t="n">
        <v>12000</v>
      </c>
      <c r="K26" s="10">
        <f>IF(D26&lt;&gt;"",D26*(1+$B$4),IF(E26&lt;&gt;"",E26,""))</f>
        <v/>
      </c>
      <c r="L26" s="10">
        <f>IF(J26&lt;&gt;"",J26*(1-$B$5)-$B$6,"")</f>
        <v/>
      </c>
      <c r="M26" s="10">
        <f>IF(AND(K26&lt;&gt;"",L26&lt;&gt;""),L26-K26,"")</f>
        <v/>
      </c>
      <c r="N26" s="11">
        <f>IFERROR(M26/K26,"")</f>
        <v/>
      </c>
      <c r="O26" s="8" t="inlineStr"/>
    </row>
    <row r="27">
      <c r="A27" s="8" t="inlineStr">
        <is>
          <t>Cars</t>
        </is>
      </c>
      <c r="B27" s="8" t="inlineStr">
        <is>
          <t>Turners</t>
        </is>
      </c>
      <c r="C27" s="9" t="inlineStr">
        <is>
          <t>2013 Toyota Vellfire</t>
        </is>
      </c>
      <c r="D27" s="10" t="n"/>
      <c r="E27" s="10" t="n"/>
      <c r="F27" s="8" t="inlineStr"/>
      <c r="G27" s="8" t="n">
        <v>3</v>
      </c>
      <c r="H27" s="8" t="inlineStr">
        <is>
          <t>medium</t>
        </is>
      </c>
      <c r="I27" s="10" t="n"/>
      <c r="J27" s="10" t="n"/>
      <c r="K27" s="10">
        <f>IF(D27&lt;&gt;"",D27*(1+$B$4),IF(E27&lt;&gt;"",E27,""))</f>
        <v/>
      </c>
      <c r="L27" s="10">
        <f>IF(J27&lt;&gt;"",J27*(1-$B$5)-$B$6,"")</f>
        <v/>
      </c>
      <c r="M27" s="10">
        <f>IF(AND(K27&lt;&gt;"",L27&lt;&gt;""),L27-K27,"")</f>
        <v/>
      </c>
      <c r="N27" s="11">
        <f>IFERROR(M27/K27,"")</f>
        <v/>
      </c>
      <c r="O27" s="8" t="inlineStr"/>
    </row>
    <row r="28">
      <c r="A28" s="8" t="inlineStr">
        <is>
          <t>Trucks &amp; Machinery</t>
        </is>
      </c>
      <c r="B28" s="8" t="inlineStr">
        <is>
          <t>Turners</t>
        </is>
      </c>
      <c r="C28" s="9" t="inlineStr">
        <is>
          <t>2014 Tennant T3 Scrubber Sweeper</t>
        </is>
      </c>
      <c r="D28" s="10" t="n">
        <v>800</v>
      </c>
      <c r="E28" s="10" t="n"/>
      <c r="F28" s="8" t="inlineStr"/>
      <c r="G28" s="8" t="n">
        <v>4</v>
      </c>
      <c r="H28" s="8" t="inlineStr">
        <is>
          <t>low</t>
        </is>
      </c>
      <c r="I28" s="10" t="n">
        <v>15000</v>
      </c>
      <c r="J28" s="10" t="n">
        <v>1200</v>
      </c>
      <c r="K28" s="10">
        <f>IF(D28&lt;&gt;"",D28*(1+$B$4),IF(E28&lt;&gt;"",E28,""))</f>
        <v/>
      </c>
      <c r="L28" s="10">
        <f>IF(J28&lt;&gt;"",J28*(1-$B$5)-$B$6,"")</f>
        <v/>
      </c>
      <c r="M28" s="10">
        <f>IF(AND(K28&lt;&gt;"",L28&lt;&gt;""),L28-K28,"")</f>
        <v/>
      </c>
      <c r="N28" s="11">
        <f>IFERROR(M28/K28,"")</f>
        <v/>
      </c>
      <c r="O28" s="8" t="inlineStr">
        <is>
          <t>No comparable item found this run -- standalone assessment only</t>
        </is>
      </c>
    </row>
    <row r="29">
      <c r="A29" s="8" t="inlineStr">
        <is>
          <t>Toys &amp; Games</t>
        </is>
      </c>
      <c r="B29" s="8" t="inlineStr">
        <is>
          <t>Thorntons</t>
        </is>
      </c>
      <c r="C29" s="9" t="inlineStr">
        <is>
          <t>Toys &amp; More Auction 12.8.26 OS133176</t>
        </is>
      </c>
      <c r="D29" s="10" t="n"/>
      <c r="E29" s="10" t="n"/>
      <c r="F29" s="8" t="inlineStr"/>
      <c r="G29" s="8" t="n">
        <v>4</v>
      </c>
      <c r="H29" s="8" t="inlineStr">
        <is>
          <t>medium</t>
        </is>
      </c>
      <c r="I29" s="10" t="n"/>
      <c r="J29" s="10" t="n"/>
      <c r="K29" s="10">
        <f>IF(D29&lt;&gt;"",D29*(1+$B$4),IF(E29&lt;&gt;"",E29,""))</f>
        <v/>
      </c>
      <c r="L29" s="10">
        <f>IF(J29&lt;&gt;"",J29*(1-$B$5)-$B$6,"")</f>
        <v/>
      </c>
      <c r="M29" s="10">
        <f>IF(AND(K29&lt;&gt;"",L29&lt;&gt;""),L29-K29,"")</f>
        <v/>
      </c>
      <c r="N29" s="11">
        <f>IFERROR(M29/K29,"")</f>
        <v/>
      </c>
      <c r="O29" s="8" t="inlineStr">
        <is>
          <t>Caution: no description text</t>
        </is>
      </c>
    </row>
    <row r="30">
      <c r="A30" s="8" t="inlineStr">
        <is>
          <t>Antiques &amp; Collectables</t>
        </is>
      </c>
      <c r="B30" s="8" t="inlineStr">
        <is>
          <t>Thorntons</t>
        </is>
      </c>
      <c r="C30" s="9" t="inlineStr">
        <is>
          <t>Auction #2 - Collectables &amp; Interiors  21.8.26 FRI133177</t>
        </is>
      </c>
      <c r="D30" s="10" t="n"/>
      <c r="E30" s="10" t="n"/>
      <c r="F30" s="8" t="inlineStr"/>
      <c r="G30" s="8" t="n">
        <v>4</v>
      </c>
      <c r="H30" s="8" t="inlineStr">
        <is>
          <t>medium</t>
        </is>
      </c>
      <c r="I30" s="10" t="n"/>
      <c r="J30" s="10" t="n"/>
      <c r="K30" s="10">
        <f>IF(D30&lt;&gt;"",D30*(1+$B$4),IF(E30&lt;&gt;"",E30,""))</f>
        <v/>
      </c>
      <c r="L30" s="10">
        <f>IF(J30&lt;&gt;"",J30*(1-$B$5)-$B$6,"")</f>
        <v/>
      </c>
      <c r="M30" s="10">
        <f>IF(AND(K30&lt;&gt;"",L30&lt;&gt;""),L30-K30,"")</f>
        <v/>
      </c>
      <c r="N30" s="11">
        <f>IFERROR(M30/K30,"")</f>
        <v/>
      </c>
      <c r="O30" s="8" t="inlineStr">
        <is>
          <t>Caution: no description provided; generic category title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  <hyperlink xmlns:r="http://schemas.openxmlformats.org/officeDocument/2006/relationships" ref="C25" r:id="rId16"/>
    <hyperlink xmlns:r="http://schemas.openxmlformats.org/officeDocument/2006/relationships" ref="C26" r:id="rId17"/>
    <hyperlink xmlns:r="http://schemas.openxmlformats.org/officeDocument/2006/relationships" ref="C27" r:id="rId18"/>
    <hyperlink xmlns:r="http://schemas.openxmlformats.org/officeDocument/2006/relationships" ref="C28" r:id="rId19"/>
    <hyperlink xmlns:r="http://schemas.openxmlformats.org/officeDocument/2006/relationships" ref="C29" r:id="rId20"/>
    <hyperlink xmlns:r="http://schemas.openxmlformats.org/officeDocument/2006/relationships" ref="C30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2026-08-10T00:54:08Z</dcterms:created>
  <dcterms:modified xmlns:dcterms="http://purl.org/dc/terms/" xmlns:xsi="http://www.w3.org/2001/XMLSchema-instance" xsi:type="dcterms:W3CDTF">2026-08-10T00:54:08Z</dcterms:modified>
</cp:coreProperties>
</file>