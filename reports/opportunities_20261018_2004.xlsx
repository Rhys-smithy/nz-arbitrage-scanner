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jewellery/watches/22598341" TargetMode="External" Id="rId1"/><Relationship Type="http://schemas.openxmlformats.org/officeDocument/2006/relationships/hyperlink" Target="https://www.turners.co.nz/General-Goods/Search/house--garden/gardening-equipment/25274133" TargetMode="External" Id="rId2"/><Relationship Type="http://schemas.openxmlformats.org/officeDocument/2006/relationships/hyperlink" Target="https://www.turners.co.nz/General-Goods/Search/house--garden/gardening-equipment/25274179" TargetMode="External" Id="rId3"/><Relationship Type="http://schemas.openxmlformats.org/officeDocument/2006/relationships/hyperlink" Target="https://www.turners.co.nz/General-Goods/Search/health--beauty/fragrances/27092632" TargetMode="External" Id="rId4"/><Relationship Type="http://schemas.openxmlformats.org/officeDocument/2006/relationships/hyperlink" Target="https://www.turners.co.nz/General-Goods/Search/automotive-goods/other/25456731" TargetMode="External" Id="rId5"/><Relationship Type="http://schemas.openxmlformats.org/officeDocument/2006/relationships/hyperlink" Target="https://www.turners.co.nz/General-Goods/Search/automotive-goods/other/25456712" TargetMode="External" Id="rId6"/><Relationship Type="http://schemas.openxmlformats.org/officeDocument/2006/relationships/hyperlink" Target="https://www.turners.co.nz/General-Goods/Search/automotive-goods/other/2545669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Jewellery &amp; Watches</t>
        </is>
      </c>
      <c r="B10" s="8" t="inlineStr">
        <is>
          <t>Turners</t>
        </is>
      </c>
      <c r="C10" s="9" t="inlineStr">
        <is>
          <t>G-Shock Black digital watch</t>
        </is>
      </c>
      <c r="D10" s="10" t="n">
        <v>3</v>
      </c>
      <c r="E10" s="10" t="n"/>
      <c r="F10" s="8" t="inlineStr">
        <is>
          <t>Average</t>
        </is>
      </c>
      <c r="G10" s="8" t="n">
        <v>9</v>
      </c>
      <c r="H10" s="8" t="inlineStr">
        <is>
          <t>high</t>
        </is>
      </c>
      <c r="I10" s="10" t="n">
        <v>120</v>
      </c>
      <c r="J10" s="10" t="n">
        <v>50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25 Oct 26</t>
        </is>
      </c>
    </row>
    <row r="11">
      <c r="A11" s="8" t="inlineStr">
        <is>
          <t>House &amp; Garden</t>
        </is>
      </c>
      <c r="B11" s="8" t="inlineStr">
        <is>
          <t>Turners</t>
        </is>
      </c>
      <c r="C11" s="9" t="inlineStr">
        <is>
          <t>Stihl FSA 90R Line Trimmer</t>
        </is>
      </c>
      <c r="D11" s="10" t="n">
        <v>151</v>
      </c>
      <c r="E11" s="10" t="n"/>
      <c r="F11" s="8" t="inlineStr">
        <is>
          <t>Average</t>
        </is>
      </c>
      <c r="G11" s="8" t="n">
        <v>8</v>
      </c>
      <c r="H11" s="8" t="inlineStr">
        <is>
          <t>high</t>
        </is>
      </c>
      <c r="I11" s="10" t="n">
        <v>700</v>
      </c>
      <c r="J11" s="10" t="n">
        <v>380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Reserve: Reserve Met; Closes unknown</t>
        </is>
      </c>
    </row>
    <row r="12">
      <c r="A12" s="8" t="inlineStr">
        <is>
          <t>House &amp; Garden</t>
        </is>
      </c>
      <c r="B12" s="8" t="inlineStr">
        <is>
          <t>Turners</t>
        </is>
      </c>
      <c r="C12" s="9" t="inlineStr">
        <is>
          <t>Stihl FS 85R Line Trimmer</t>
        </is>
      </c>
      <c r="D12" s="10" t="n">
        <v>163</v>
      </c>
      <c r="E12" s="10" t="n"/>
      <c r="F12" s="8" t="inlineStr">
        <is>
          <t>Average</t>
        </is>
      </c>
      <c r="G12" s="8" t="n">
        <v>6</v>
      </c>
      <c r="H12" s="8" t="inlineStr">
        <is>
          <t>medium</t>
        </is>
      </c>
      <c r="I12" s="10" t="n">
        <v>520</v>
      </c>
      <c r="J12" s="10" t="n">
        <v>190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Reserve: Reserve Met; Closes unknown</t>
        </is>
      </c>
    </row>
    <row r="13">
      <c r="A13" s="8" t="inlineStr">
        <is>
          <t>Health &amp; Beauty</t>
        </is>
      </c>
      <c r="B13" s="8" t="inlineStr">
        <is>
          <t>Turners</t>
        </is>
      </c>
      <c r="C13" s="9" t="inlineStr">
        <is>
          <t>Bradfield Fragrance Sachets w/ Retail Countertop Display - Frangipani</t>
        </is>
      </c>
      <c r="D13" s="10" t="n"/>
      <c r="E13" s="10" t="n"/>
      <c r="F13" s="8" t="inlineStr">
        <is>
          <t>New</t>
        </is>
      </c>
      <c r="G13" s="8" t="n">
        <v>3</v>
      </c>
      <c r="H13" s="8" t="inlineStr">
        <is>
          <t>low</t>
        </is>
      </c>
      <c r="I13" s="10" t="n">
        <v>45</v>
      </c>
      <c r="J13" s="10" t="n"/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/>
    </row>
    <row r="14">
      <c r="A14" s="8" t="inlineStr">
        <is>
          <t>Automotive Parts</t>
        </is>
      </c>
      <c r="B14" s="8" t="inlineStr">
        <is>
          <t>Turners</t>
        </is>
      </c>
      <c r="C14" s="9" t="inlineStr">
        <is>
          <t>Indian motorcycle seat</t>
        </is>
      </c>
      <c r="D14" s="10" t="n">
        <v>11</v>
      </c>
      <c r="E14" s="10" t="n"/>
      <c r="F14" s="8" t="inlineStr">
        <is>
          <t>Very Tidy</t>
        </is>
      </c>
      <c r="G14" s="8" t="n">
        <v>8</v>
      </c>
      <c r="H14" s="8" t="inlineStr">
        <is>
          <t>high</t>
        </is>
      </c>
      <c r="I14" s="10" t="n">
        <v>200</v>
      </c>
      <c r="J14" s="10" t="n">
        <v>70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Reserve: Reserve Met; Closes unknown</t>
        </is>
      </c>
    </row>
    <row r="15">
      <c r="A15" s="8" t="inlineStr">
        <is>
          <t>Automotive Parts</t>
        </is>
      </c>
      <c r="B15" s="8" t="inlineStr">
        <is>
          <t>Turners</t>
        </is>
      </c>
      <c r="C15" s="9" t="inlineStr">
        <is>
          <t>Indian motorcycle front windshield</t>
        </is>
      </c>
      <c r="D15" s="10" t="n">
        <v>1</v>
      </c>
      <c r="E15" s="10" t="n"/>
      <c r="F15" s="8" t="inlineStr">
        <is>
          <t>New</t>
        </is>
      </c>
      <c r="G15" s="8" t="n">
        <v>7</v>
      </c>
      <c r="H15" s="8" t="inlineStr">
        <is>
          <t>medium</t>
        </is>
      </c>
      <c r="I15" s="10" t="n">
        <v>120</v>
      </c>
      <c r="J15" s="10" t="n">
        <v>60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Reserve: Reserve Met; Closes unknown</t>
        </is>
      </c>
    </row>
    <row r="16">
      <c r="A16" s="8" t="inlineStr">
        <is>
          <t>Automotive Parts</t>
        </is>
      </c>
      <c r="B16" s="8" t="inlineStr">
        <is>
          <t>Turners</t>
        </is>
      </c>
      <c r="C16" s="9" t="inlineStr">
        <is>
          <t>Motorcycle Jeans Rev'it!</t>
        </is>
      </c>
      <c r="D16" s="10" t="n">
        <v>10</v>
      </c>
      <c r="E16" s="10" t="n"/>
      <c r="F16" s="8" t="inlineStr">
        <is>
          <t>Average</t>
        </is>
      </c>
      <c r="G16" s="8" t="n">
        <v>7</v>
      </c>
      <c r="H16" s="8" t="inlineStr">
        <is>
          <t>medium</t>
        </is>
      </c>
      <c r="I16" s="10" t="n">
        <v>250</v>
      </c>
      <c r="J16" s="10" t="n">
        <v>60</v>
      </c>
      <c r="K16" s="10">
        <f>IF(D16&lt;&gt;"",D16*(1+$B$4),IF(E16&lt;&gt;"",E16,""))</f>
        <v/>
      </c>
      <c r="L16" s="10">
        <f>IF(J16&lt;&gt;"",J16*(1-$B$5)-$B$6,"")</f>
        <v/>
      </c>
      <c r="M16" s="10">
        <f>IF(AND(K16&lt;&gt;"",L16&lt;&gt;""),L16-K16,"")</f>
        <v/>
      </c>
      <c r="N16" s="11">
        <f>IFERROR(M16/K16,"")</f>
        <v/>
      </c>
      <c r="O16" s="8" t="inlineStr">
        <is>
          <t>Reserve: Reserve Met; Closes unknown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2026-10-18T20:04:36Z</dcterms:created>
  <dcterms:modified xmlns:dcterms="http://purl.org/dc/terms/" xmlns:xsi="http://www.w3.org/2001/XMLSchema-instance" xsi:type="dcterms:W3CDTF">2026-10-18T20:04:36Z</dcterms:modified>
</cp:coreProperties>
</file>