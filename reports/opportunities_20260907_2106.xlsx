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video-cameras--equipment/28452245" TargetMode="External" Id="rId1"/><Relationship Type="http://schemas.openxmlformats.org/officeDocument/2006/relationships/hyperlink" Target="https://www.turners.co.nz/General-Goods/Search/electronics/video-cameras--equipment/28452307" TargetMode="External" Id="rId2"/><Relationship Type="http://schemas.openxmlformats.org/officeDocument/2006/relationships/hyperlink" Target="https://www.turners.co.nz/General-Goods/Search/computer/peripherals/21216826" TargetMode="External" Id="rId3"/><Relationship Type="http://schemas.openxmlformats.org/officeDocument/2006/relationships/hyperlink" Target="https://www.turners.co.nz/General-Goods/Search/machinery/parts/28378665" TargetMode="External" Id="rId4"/><Relationship Type="http://schemas.openxmlformats.org/officeDocument/2006/relationships/hyperlink" Target="https://www.turners.co.nz/General-Goods/Search/jewellery/bracelets--charms/21366806" TargetMode="External" Id="rId5"/><Relationship Type="http://schemas.openxmlformats.org/officeDocument/2006/relationships/hyperlink" Target="https://www.turners.co.nz/General-Goods/Search/house--garden/sheds--garages--accessories/21217160" TargetMode="External" Id="rId6"/><Relationship Type="http://schemas.openxmlformats.org/officeDocument/2006/relationships/hyperlink" Target="https://www.turners.co.nz/General-Goods/Search/house--garden/sheds--garages--accessories/21367202" TargetMode="External" Id="rId7"/><Relationship Type="http://schemas.openxmlformats.org/officeDocument/2006/relationships/hyperlink" Target="https://www.turners.co.nz/General-Goods/Search/automotive-goods/car-parts/21366913" TargetMode="External" Id="rId8"/><Relationship Type="http://schemas.openxmlformats.org/officeDocument/2006/relationships/hyperlink" Target="https://www.turners.co.nz/General-Goods/Search/automotive-goods/other/27550124" TargetMode="External" Id="rId9"/><Relationship Type="http://schemas.openxmlformats.org/officeDocument/2006/relationships/hyperlink" Target="https://www.turners.co.nz/General-Goods/Search/automotive-goods/car-parts/21366909" TargetMode="External" Id="rId10"/><Relationship Type="http://schemas.openxmlformats.org/officeDocument/2006/relationships/hyperlink" Target="https://www.turners.co.nz/Cars/Used-Cars-for-Sale/nissan/note/28286225" TargetMode="External" Id="rId11"/><Relationship Type="http://schemas.openxmlformats.org/officeDocument/2006/relationships/hyperlink" Target="https://www.turners.co.nz/Cars/Used-Cars-for-Sale/mitsubishi/outlander/28054725" TargetMode="External" Id="rId12"/><Relationship Type="http://schemas.openxmlformats.org/officeDocument/2006/relationships/hyperlink" Target="https://www.turners.co.nz/Cars/Used-Cars-for-Sale/nissan/note/28141538" TargetMode="External" Id="rId13"/><Relationship Type="http://schemas.openxmlformats.org/officeDocument/2006/relationships/hyperlink" Target="https://www.turners.co.nz/Trucks-Machinery/Used-Trucks-and-Machinery-for-Sale/vicon/dmp-2800-mower/28366763" TargetMode="External" Id="rId14"/><Relationship Type="http://schemas.openxmlformats.org/officeDocument/2006/relationships/hyperlink" Target="https://www.turners.co.nz/Trucks-Machinery/Used-Trucks-and-Machinery-for-Sale/trailer/side/2836294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DJI - Mavic 2 Enterprise Dual Drone Package</t>
        </is>
      </c>
      <c r="D10" s="10" t="n">
        <v>102</v>
      </c>
      <c r="E10" s="10" t="n"/>
      <c r="F10" s="8" t="inlineStr">
        <is>
          <t>Tidy</t>
        </is>
      </c>
      <c r="G10" s="8" t="n">
        <v>9</v>
      </c>
      <c r="H10" s="8" t="inlineStr">
        <is>
          <t>high</t>
        </is>
      </c>
      <c r="I10" s="10" t="n">
        <v>7500</v>
      </c>
      <c r="J10" s="10" t="n">
        <v>3000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13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DJI - Mavic 3 Enterprise Drone Package</t>
        </is>
      </c>
      <c r="D11" s="10" t="n">
        <v>1261</v>
      </c>
      <c r="E11" s="10" t="n"/>
      <c r="F11" s="8" t="inlineStr">
        <is>
          <t>Tidy</t>
        </is>
      </c>
      <c r="G11" s="8" t="n">
        <v>8</v>
      </c>
      <c r="H11" s="8" t="inlineStr">
        <is>
          <t>high</t>
        </is>
      </c>
      <c r="I11" s="10" t="n">
        <v>8500</v>
      </c>
      <c r="J11" s="10" t="n">
        <v>4500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13 Sep 26</t>
        </is>
      </c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11x HP Corded Keyboards and 7x HP Corded Mice</t>
        </is>
      </c>
      <c r="D12" s="10" t="n">
        <v>10</v>
      </c>
      <c r="E12" s="10" t="n"/>
      <c r="F12" s="8" t="inlineStr">
        <is>
          <t>Very Tidy</t>
        </is>
      </c>
      <c r="G12" s="8" t="n">
        <v>7</v>
      </c>
      <c r="H12" s="8" t="inlineStr">
        <is>
          <t>high</t>
        </is>
      </c>
      <c r="I12" s="10" t="n">
        <v>300</v>
      </c>
      <c r="J12" s="10" t="n">
        <v>120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No Reserve; Closes 13 Sep 26</t>
        </is>
      </c>
    </row>
    <row r="13">
      <c r="A13" s="8" t="inlineStr">
        <is>
          <t>Machinery &amp; Tools</t>
        </is>
      </c>
      <c r="B13" s="8" t="inlineStr">
        <is>
          <t>Turners</t>
        </is>
      </c>
      <c r="C13" s="9" t="inlineStr">
        <is>
          <t>ZEPRO- BZ 20-152 S Tail Lift (ex 2008 Isuzu FVZ Curtain Sider Truck)</t>
        </is>
      </c>
      <c r="D13" s="10" t="n">
        <v>900</v>
      </c>
      <c r="E13" s="10" t="n"/>
      <c r="F13" s="8" t="inlineStr">
        <is>
          <t>Tidy</t>
        </is>
      </c>
      <c r="G13" s="8" t="n">
        <v>6</v>
      </c>
      <c r="H13" s="8" t="inlineStr">
        <is>
          <t>medium</t>
        </is>
      </c>
      <c r="I13" s="10" t="n">
        <v>3500</v>
      </c>
      <c r="J13" s="10" t="n">
        <v>1200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unknown; Closes 13 Sep 26</t>
        </is>
      </c>
    </row>
    <row r="14">
      <c r="A14" s="8" t="inlineStr">
        <is>
          <t>Jewellery &amp; Watches</t>
        </is>
      </c>
      <c r="B14" s="8" t="inlineStr">
        <is>
          <t>Turners</t>
        </is>
      </c>
      <c r="C14" s="9" t="inlineStr">
        <is>
          <t>5x Minx Miss Merivale Lanyards and 1x Beaded Bracelet</t>
        </is>
      </c>
      <c r="D14" s="10" t="n">
        <v>10</v>
      </c>
      <c r="E14" s="10" t="n"/>
      <c r="F14" s="8" t="inlineStr">
        <is>
          <t>Excellent</t>
        </is>
      </c>
      <c r="G14" s="8" t="n">
        <v>5</v>
      </c>
      <c r="H14" s="8" t="inlineStr">
        <is>
          <t>low</t>
        </is>
      </c>
      <c r="I14" s="10" t="n"/>
      <c r="J14" s="10" t="n">
        <v>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13 Sep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Garage Items - Diesel Engine Oil Etc</t>
        </is>
      </c>
      <c r="D15" s="10" t="n">
        <v>10</v>
      </c>
      <c r="E15" s="10" t="n"/>
      <c r="F15" s="8" t="inlineStr">
        <is>
          <t>Tidy</t>
        </is>
      </c>
      <c r="G15" s="8" t="n">
        <v>3</v>
      </c>
      <c r="H15" s="8" t="inlineStr">
        <is>
          <t>low</t>
        </is>
      </c>
      <c r="I15" s="10" t="n">
        <v>80</v>
      </c>
      <c r="J15" s="10" t="n">
        <v>15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13 Sep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Garage Items - Various Oil, Trimmer Line Etc</t>
        </is>
      </c>
      <c r="D16" s="10" t="n">
        <v>10</v>
      </c>
      <c r="E16" s="10" t="n"/>
      <c r="F16" s="8" t="inlineStr">
        <is>
          <t>Tidy</t>
        </is>
      </c>
      <c r="G16" s="8" t="n">
        <v>2</v>
      </c>
      <c r="H16" s="8" t="inlineStr">
        <is>
          <t>low</t>
        </is>
      </c>
      <c r="I16" s="10" t="n">
        <v>60</v>
      </c>
      <c r="J16" s="10" t="n">
        <v>8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No Reserve; Closes 13 Sep 26</t>
        </is>
      </c>
    </row>
    <row r="17">
      <c r="A17" s="8" t="inlineStr">
        <is>
          <t>Automotive Parts</t>
        </is>
      </c>
      <c r="B17" s="8" t="inlineStr">
        <is>
          <t>Turners</t>
        </is>
      </c>
      <c r="C17" s="9" t="inlineStr">
        <is>
          <t>Inno roof box with racking</t>
        </is>
      </c>
      <c r="D17" s="10" t="n">
        <v>1</v>
      </c>
      <c r="E17" s="10" t="n"/>
      <c r="F17" s="8" t="inlineStr">
        <is>
          <t>Very Tidy</t>
        </is>
      </c>
      <c r="G17" s="8" t="n">
        <v>8</v>
      </c>
      <c r="H17" s="8" t="inlineStr">
        <is>
          <t>high</t>
        </is>
      </c>
      <c r="I17" s="10" t="n">
        <v>750</v>
      </c>
      <c r="J17" s="10" t="n">
        <v>450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No Reserve; Closes 13 Sep 26</t>
        </is>
      </c>
    </row>
    <row r="18">
      <c r="A18" s="8" t="inlineStr">
        <is>
          <t>Automotive Parts</t>
        </is>
      </c>
      <c r="B18" s="8" t="inlineStr">
        <is>
          <t>Turners</t>
        </is>
      </c>
      <c r="C18" s="9" t="inlineStr">
        <is>
          <t>Light Truck Traffic Management Tray</t>
        </is>
      </c>
      <c r="D18" s="10" t="n">
        <v>58</v>
      </c>
      <c r="E18" s="10" t="n"/>
      <c r="F18" s="8" t="inlineStr">
        <is>
          <t>Average</t>
        </is>
      </c>
      <c r="G18" s="8" t="n">
        <v>3</v>
      </c>
      <c r="H18" s="8" t="inlineStr">
        <is>
          <t>low</t>
        </is>
      </c>
      <c r="I18" s="10" t="n">
        <v>250</v>
      </c>
      <c r="J18" s="10" t="n">
        <v>25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No Reserve; Closes 14 Sep 26</t>
        </is>
      </c>
    </row>
    <row r="19">
      <c r="A19" s="8" t="inlineStr">
        <is>
          <t>Automotive Parts</t>
        </is>
      </c>
      <c r="B19" s="8" t="inlineStr">
        <is>
          <t>Turners</t>
        </is>
      </c>
      <c r="C19" s="9" t="inlineStr">
        <is>
          <t>Thule roof box</t>
        </is>
      </c>
      <c r="D19" s="10" t="n">
        <v>1</v>
      </c>
      <c r="E19" s="10" t="n"/>
      <c r="F19" s="8" t="inlineStr">
        <is>
          <t>Very Tidy</t>
        </is>
      </c>
      <c r="G19" s="8" t="n">
        <v>2</v>
      </c>
      <c r="H19" s="8" t="inlineStr">
        <is>
          <t>low</t>
        </is>
      </c>
      <c r="I19" s="10" t="n">
        <v>1000</v>
      </c>
      <c r="J19" s="10" t="n">
        <v>150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Reserve: Reserve Met; Closes 13 Sep 26</t>
        </is>
      </c>
    </row>
    <row r="20">
      <c r="A20" s="8" t="inlineStr">
        <is>
          <t>Cars</t>
        </is>
      </c>
      <c r="B20" s="8" t="inlineStr">
        <is>
          <t>Turners</t>
        </is>
      </c>
      <c r="C20" s="9" t="inlineStr">
        <is>
          <t>2023 Nissan Note</t>
        </is>
      </c>
      <c r="D20" s="10" t="n"/>
      <c r="E20" s="10" t="n"/>
      <c r="F20" s="8" t="inlineStr"/>
      <c r="G20" s="8" t="n">
        <v>7</v>
      </c>
      <c r="H20" s="8" t="inlineStr">
        <is>
          <t>high</t>
        </is>
      </c>
      <c r="I20" s="10" t="n">
        <v>32000</v>
      </c>
      <c r="J20" s="10" t="n">
        <v>22000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/>
    </row>
    <row r="21">
      <c r="A21" s="8" t="inlineStr">
        <is>
          <t>Cars</t>
        </is>
      </c>
      <c r="B21" s="8" t="inlineStr">
        <is>
          <t>Turners</t>
        </is>
      </c>
      <c r="C21" s="9" t="inlineStr">
        <is>
          <t>2015 Mitsubishi Outlander 2WD</t>
        </is>
      </c>
      <c r="D21" s="10" t="n"/>
      <c r="E21" s="10" t="n"/>
      <c r="F21" s="8" t="inlineStr"/>
      <c r="G21" s="8" t="n">
        <v>6</v>
      </c>
      <c r="H21" s="8" t="inlineStr">
        <is>
          <t>high</t>
        </is>
      </c>
      <c r="I21" s="10" t="n">
        <v>45000</v>
      </c>
      <c r="J21" s="10" t="n">
        <v>18000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/>
    </row>
    <row r="22">
      <c r="A22" s="8" t="inlineStr">
        <is>
          <t>Cars</t>
        </is>
      </c>
      <c r="B22" s="8" t="inlineStr">
        <is>
          <t>Turners</t>
        </is>
      </c>
      <c r="C22" s="9" t="inlineStr">
        <is>
          <t>2021 Nissan Note</t>
        </is>
      </c>
      <c r="D22" s="10" t="n"/>
      <c r="E22" s="10" t="n"/>
      <c r="F22" s="8" t="inlineStr"/>
      <c r="G22" s="8" t="n">
        <v>6</v>
      </c>
      <c r="H22" s="8" t="inlineStr">
        <is>
          <t>high</t>
        </is>
      </c>
      <c r="I22" s="10" t="n">
        <v>28000</v>
      </c>
      <c r="J22" s="10" t="n">
        <v>18000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/>
    </row>
    <row r="23">
      <c r="A23" s="8" t="inlineStr">
        <is>
          <t>Trucks &amp; Machinery</t>
        </is>
      </c>
      <c r="B23" s="8" t="inlineStr">
        <is>
          <t>Turners</t>
        </is>
      </c>
      <c r="C23" s="9" t="inlineStr">
        <is>
          <t>1234 Vicon DMP 2800 Mower Mower</t>
        </is>
      </c>
      <c r="D23" s="10" t="n">
        <v>510</v>
      </c>
      <c r="E23" s="10" t="n"/>
      <c r="F23" s="8" t="inlineStr"/>
      <c r="G23" s="8" t="n">
        <v>6</v>
      </c>
      <c r="H23" s="8" t="inlineStr">
        <is>
          <t>medium</t>
        </is>
      </c>
      <c r="I23" s="10" t="n">
        <v>3500</v>
      </c>
      <c r="J23" s="10" t="n">
        <v>700</v>
      </c>
      <c r="K23" s="10">
        <f>IF(D23&lt;&gt;"",D23*(1+$B$4),IF(E23&lt;&gt;"",E23,""))</f>
        <v/>
      </c>
      <c r="L23" s="10">
        <f>IF(J23&lt;&gt;"",J23*(1-$B$5)-$B$6,"")</f>
        <v/>
      </c>
      <c r="M23" s="10">
        <f>IF(AND(K23&lt;&gt;"",L23&lt;&gt;""),L23-K23,"")</f>
        <v/>
      </c>
      <c r="N23" s="11">
        <f>IFERROR(M23/K23,"")</f>
        <v/>
      </c>
      <c r="O23" s="8" t="inlineStr">
        <is>
          <t>No comparable item found this run -- standalone assessment only</t>
        </is>
      </c>
    </row>
    <row r="24">
      <c r="A24" s="8" t="inlineStr">
        <is>
          <t>Trucks &amp; Machinery</t>
        </is>
      </c>
      <c r="B24" s="8" t="inlineStr">
        <is>
          <t>Turners</t>
        </is>
      </c>
      <c r="C24" s="9" t="inlineStr">
        <is>
          <t>2008 Trailer Side Plant Trailer - Single</t>
        </is>
      </c>
      <c r="D24" s="10" t="n">
        <v>350</v>
      </c>
      <c r="E24" s="10" t="n"/>
      <c r="F24" s="8" t="inlineStr"/>
      <c r="G24" s="8" t="n">
        <v>3</v>
      </c>
      <c r="H24" s="8" t="inlineStr">
        <is>
          <t>low</t>
        </is>
      </c>
      <c r="I24" s="10" t="n">
        <v>2500</v>
      </c>
      <c r="J24" s="10" t="n">
        <v>400</v>
      </c>
      <c r="K24" s="10">
        <f>IF(D24&lt;&gt;"",D24*(1+$B$4),IF(E24&lt;&gt;"",E24,""))</f>
        <v/>
      </c>
      <c r="L24" s="10">
        <f>IF(J24&lt;&gt;"",J24*(1-$B$5)-$B$6,"")</f>
        <v/>
      </c>
      <c r="M24" s="10">
        <f>IF(AND(K24&lt;&gt;"",L24&lt;&gt;""),L24-K24,"")</f>
        <v/>
      </c>
      <c r="N24" s="11">
        <f>IFERROR(M24/K24,"")</f>
        <v/>
      </c>
      <c r="O24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4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2026-09-07T21:06:52Z</dcterms:created>
  <dcterms:modified xmlns:dcterms="http://purl.org/dc/terms/" xmlns:xsi="http://www.w3.org/2001/XMLSchema-instance" xsi:type="dcterms:W3CDTF">2026-09-07T21:06:52Z</dcterms:modified>
</cp:coreProperties>
</file>