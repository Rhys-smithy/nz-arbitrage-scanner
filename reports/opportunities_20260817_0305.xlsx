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projectors/25310468" TargetMode="External" Id="rId1"/><Relationship Type="http://schemas.openxmlformats.org/officeDocument/2006/relationships/hyperlink" Target="https://www.turners.co.nz/General-Goods/Search/electronics/television/25310622" TargetMode="External" Id="rId2"/><Relationship Type="http://schemas.openxmlformats.org/officeDocument/2006/relationships/hyperlink" Target="https://www.turners.co.nz/General-Goods/Search/machinery/tools/22825409" TargetMode="External" Id="rId3"/><Relationship Type="http://schemas.openxmlformats.org/officeDocument/2006/relationships/hyperlink" Target="https://www.turners.co.nz/General-Goods/Search/sport--leisure/exercise-equipment/28185440" TargetMode="External" Id="rId4"/><Relationship Type="http://schemas.openxmlformats.org/officeDocument/2006/relationships/hyperlink" Target="https://www.turners.co.nz/General-Goods/Search/sport--leisure/exercise-equipment/28185455" TargetMode="External" Id="rId5"/><Relationship Type="http://schemas.openxmlformats.org/officeDocument/2006/relationships/hyperlink" Target="https://www.turners.co.nz/General-Goods/Search/house--garden/lounge-furniture/25309155" TargetMode="External" Id="rId6"/><Relationship Type="http://schemas.openxmlformats.org/officeDocument/2006/relationships/hyperlink" Target="https://www.turners.co.nz/General-Goods/Search/house--garden/security-locks--alarms/25309707" TargetMode="External" Id="rId7"/><Relationship Type="http://schemas.openxmlformats.org/officeDocument/2006/relationships/hyperlink" Target="https://www.turners.co.nz/General-Goods/Search/automotive-goods/other/28126044" TargetMode="External" Id="rId8"/><Relationship Type="http://schemas.openxmlformats.org/officeDocument/2006/relationships/hyperlink" Target="https://www.turners.co.nz/General-Goods/Search/automotive-goods/other/28063271" TargetMode="External" Id="rId9"/><Relationship Type="http://schemas.openxmlformats.org/officeDocument/2006/relationships/hyperlink" Target="https://www.turners.co.nz/Cars/Used-Cars-for-Sale/nissan/serena/27999104" TargetMode="External" Id="rId10"/><Relationship Type="http://schemas.openxmlformats.org/officeDocument/2006/relationships/hyperlink" Target="https://www.turners.co.nz/Cars/Used-Cars-for-Sale/nissan/serena/2805617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Brateck Projector Ceiling Mount</t>
        </is>
      </c>
      <c r="D10" s="10" t="n">
        <v>1</v>
      </c>
      <c r="E10" s="10" t="n"/>
      <c r="F10" s="8" t="inlineStr">
        <is>
          <t>As New</t>
        </is>
      </c>
      <c r="G10" s="8" t="n">
        <v>9</v>
      </c>
      <c r="H10" s="8" t="inlineStr">
        <is>
          <t>high</t>
        </is>
      </c>
      <c r="I10" s="10" t="n">
        <v>60</v>
      </c>
      <c r="J10" s="10" t="n">
        <v>35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23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Acer 24" Monitor</t>
        </is>
      </c>
      <c r="D11" s="10" t="n">
        <v>1</v>
      </c>
      <c r="E11" s="10" t="n"/>
      <c r="F11" s="8" t="inlineStr">
        <is>
          <t>Unknown</t>
        </is>
      </c>
      <c r="G11" s="8" t="n">
        <v>2</v>
      </c>
      <c r="H11" s="8" t="inlineStr">
        <is>
          <t>low</t>
        </is>
      </c>
      <c r="I11" s="10" t="n">
        <v>250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24 Aug 26</t>
        </is>
      </c>
    </row>
    <row r="12">
      <c r="A12" s="8" t="inlineStr">
        <is>
          <t>Machinery &amp; Tools</t>
        </is>
      </c>
      <c r="B12" s="8" t="inlineStr">
        <is>
          <t>Turners</t>
        </is>
      </c>
      <c r="C12" s="9" t="inlineStr">
        <is>
          <t>Hilti TE 3000-AVR Concrete Breaker</t>
        </is>
      </c>
      <c r="D12" s="10" t="n">
        <v>850</v>
      </c>
      <c r="E12" s="10" t="n"/>
      <c r="F12" s="8" t="inlineStr">
        <is>
          <t>Average</t>
        </is>
      </c>
      <c r="G12" s="8" t="n">
        <v>7</v>
      </c>
      <c r="H12" s="8" t="inlineStr">
        <is>
          <t>medium</t>
        </is>
      </c>
      <c r="I12" s="10" t="n">
        <v>2200</v>
      </c>
      <c r="J12" s="10" t="n">
        <v>1100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unknown; Closes 26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Commercial Life Fitness - 95X Discover SE3 HD Elliptical Cross Trainer</t>
        </is>
      </c>
      <c r="D13" s="10" t="n"/>
      <c r="E13" s="10" t="n"/>
      <c r="F13" s="8" t="inlineStr">
        <is>
          <t>Excellent</t>
        </is>
      </c>
      <c r="G13" s="8" t="n">
        <v>7</v>
      </c>
      <c r="H13" s="8" t="inlineStr">
        <is>
          <t>medium</t>
        </is>
      </c>
      <c r="I13" s="10" t="n">
        <v>8000</v>
      </c>
      <c r="J13" s="10" t="n">
        <v>3500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  <row r="14">
      <c r="A14" s="8" t="inlineStr">
        <is>
          <t>Sport &amp; Leisure</t>
        </is>
      </c>
      <c r="B14" s="8" t="inlineStr">
        <is>
          <t>Turners</t>
        </is>
      </c>
      <c r="C14" s="9" t="inlineStr">
        <is>
          <t>Commercial Life Fitness - 95X Discover SE3 HD Elliptical Cross Trainer</t>
        </is>
      </c>
      <c r="D14" s="10" t="n"/>
      <c r="E14" s="10" t="n"/>
      <c r="F14" s="8" t="inlineStr">
        <is>
          <t>Very Tidy</t>
        </is>
      </c>
      <c r="G14" s="8" t="n">
        <v>6</v>
      </c>
      <c r="H14" s="8" t="inlineStr">
        <is>
          <t>medium</t>
        </is>
      </c>
      <c r="I14" s="10" t="n">
        <v>8000</v>
      </c>
      <c r="J14" s="10" t="n">
        <v>3200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/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Wooden Table</t>
        </is>
      </c>
      <c r="D15" s="10" t="n">
        <v>1</v>
      </c>
      <c r="E15" s="10" t="n"/>
      <c r="F15" s="8" t="inlineStr">
        <is>
          <t>Average</t>
        </is>
      </c>
      <c r="G15" s="8" t="n">
        <v>9</v>
      </c>
      <c r="H15" s="8" t="inlineStr">
        <is>
          <t>high</t>
        </is>
      </c>
      <c r="I15" s="10" t="n">
        <v>200</v>
      </c>
      <c r="J15" s="10" t="n">
        <v>85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No Reserve; Closes 23 Aug 26</t>
        </is>
      </c>
    </row>
    <row r="16">
      <c r="A16" s="8" t="inlineStr">
        <is>
          <t>House &amp; Garden</t>
        </is>
      </c>
      <c r="B16" s="8" t="inlineStr">
        <is>
          <t>Turners</t>
        </is>
      </c>
      <c r="C16" s="9" t="inlineStr">
        <is>
          <t>Used Security Cameras, Ethernet Cables &amp; More</t>
        </is>
      </c>
      <c r="D16" s="10" t="n">
        <v>1</v>
      </c>
      <c r="E16" s="10" t="n"/>
      <c r="F16" s="8" t="inlineStr">
        <is>
          <t>Average</t>
        </is>
      </c>
      <c r="G16" s="8" t="n">
        <v>2</v>
      </c>
      <c r="H16" s="8" t="inlineStr">
        <is>
          <t>low</t>
        </is>
      </c>
      <c r="I16" s="10" t="n"/>
      <c r="J16" s="10" t="n"/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Reserve Met; Closes 23 Aug 26</t>
        </is>
      </c>
    </row>
    <row r="17">
      <c r="A17" s="8" t="inlineStr">
        <is>
          <t>Automotive Parts</t>
        </is>
      </c>
      <c r="B17" s="8" t="inlineStr">
        <is>
          <t>Turners</t>
        </is>
      </c>
      <c r="C17" s="9" t="inlineStr">
        <is>
          <t>Radiator Stop Leak</t>
        </is>
      </c>
      <c r="D17" s="10" t="n">
        <v>4</v>
      </c>
      <c r="E17" s="10" t="n"/>
      <c r="F17" s="8" t="inlineStr">
        <is>
          <t>Average</t>
        </is>
      </c>
      <c r="G17" s="8" t="n">
        <v>3</v>
      </c>
      <c r="H17" s="8" t="inlineStr">
        <is>
          <t>low</t>
        </is>
      </c>
      <c r="I17" s="10" t="n">
        <v>280</v>
      </c>
      <c r="J17" s="10" t="n">
        <v>40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only; Reserve: Reserve Met; Closes unknown</t>
        </is>
      </c>
    </row>
    <row r="18">
      <c r="A18" s="8" t="inlineStr">
        <is>
          <t>Automotive Parts</t>
        </is>
      </c>
      <c r="B18" s="8" t="inlineStr">
        <is>
          <t>Turners</t>
        </is>
      </c>
      <c r="C18" s="9" t="inlineStr">
        <is>
          <t>Oil Treatment</t>
        </is>
      </c>
      <c r="D18" s="10" t="n">
        <v>15</v>
      </c>
      <c r="E18" s="10" t="n"/>
      <c r="F18" s="8" t="inlineStr">
        <is>
          <t>Average</t>
        </is>
      </c>
      <c r="G18" s="8" t="n">
        <v>3</v>
      </c>
      <c r="H18" s="8" t="inlineStr">
        <is>
          <t>low</t>
        </is>
      </c>
      <c r="I18" s="10" t="n">
        <v>40</v>
      </c>
      <c r="J18" s="10" t="n">
        <v>18</v>
      </c>
      <c r="K18" s="10">
        <f>IF(D18&lt;&gt;"",D18*(1+$B$4),IF(E18&lt;&gt;"",E18,""))</f>
        <v/>
      </c>
      <c r="L18" s="10">
        <f>IF(J18&lt;&gt;"",J18*(1-$B$5)-$B$6,"")</f>
        <v/>
      </c>
      <c r="M18" s="10">
        <f>IF(AND(K18&lt;&gt;"",L18&lt;&gt;""),L18-K18,"")</f>
        <v/>
      </c>
      <c r="N18" s="11">
        <f>IFERROR(M18/K18,"")</f>
        <v/>
      </c>
      <c r="O18" s="8" t="inlineStr">
        <is>
          <t>No comparable item found this run -- standalone assessment only; Reserve: Reserve Met; Closes unknown</t>
        </is>
      </c>
    </row>
    <row r="19">
      <c r="A19" s="8" t="inlineStr">
        <is>
          <t>Cars</t>
        </is>
      </c>
      <c r="B19" s="8" t="inlineStr">
        <is>
          <t>Turners</t>
        </is>
      </c>
      <c r="C19" s="9" t="inlineStr">
        <is>
          <t>2020 Nissan Serena</t>
        </is>
      </c>
      <c r="D19" s="10" t="n"/>
      <c r="E19" s="10" t="n"/>
      <c r="F19" s="8" t="inlineStr"/>
      <c r="G19" s="8" t="n">
        <v>7</v>
      </c>
      <c r="H19" s="8" t="inlineStr">
        <is>
          <t>high</t>
        </is>
      </c>
      <c r="I19" s="10" t="n">
        <v>38000</v>
      </c>
      <c r="J19" s="10" t="n">
        <v>24000</v>
      </c>
      <c r="K19" s="10">
        <f>IF(D19&lt;&gt;"",D19*(1+$B$4),IF(E19&lt;&gt;"",E19,""))</f>
        <v/>
      </c>
      <c r="L19" s="10">
        <f>IF(J19&lt;&gt;"",J19*(1-$B$5)-$B$6,"")</f>
        <v/>
      </c>
      <c r="M19" s="10">
        <f>IF(AND(K19&lt;&gt;"",L19&lt;&gt;""),L19-K19,"")</f>
        <v/>
      </c>
      <c r="N19" s="11">
        <f>IFERROR(M19/K19,"")</f>
        <v/>
      </c>
      <c r="O19" s="8" t="inlineStr"/>
    </row>
    <row r="20">
      <c r="A20" s="8" t="inlineStr">
        <is>
          <t>Cars</t>
        </is>
      </c>
      <c r="B20" s="8" t="inlineStr">
        <is>
          <t>Turners</t>
        </is>
      </c>
      <c r="C20" s="9" t="inlineStr">
        <is>
          <t>2015 Nissan Serena 2WD</t>
        </is>
      </c>
      <c r="D20" s="10" t="n"/>
      <c r="E20" s="10" t="n"/>
      <c r="F20" s="8" t="inlineStr"/>
      <c r="G20" s="8" t="n">
        <v>6</v>
      </c>
      <c r="H20" s="8" t="inlineStr">
        <is>
          <t>high</t>
        </is>
      </c>
      <c r="I20" s="10" t="n">
        <v>32000</v>
      </c>
      <c r="J20" s="10" t="n">
        <v>18000</v>
      </c>
      <c r="K20" s="10">
        <f>IF(D20&lt;&gt;"",D20*(1+$B$4),IF(E20&lt;&gt;"",E20,""))</f>
        <v/>
      </c>
      <c r="L20" s="10">
        <f>IF(J20&lt;&gt;"",J20*(1-$B$5)-$B$6,"")</f>
        <v/>
      </c>
      <c r="M20" s="10">
        <f>IF(AND(K20&lt;&gt;"",L20&lt;&gt;""),L20-K20,"")</f>
        <v/>
      </c>
      <c r="N20" s="11">
        <f>IFERROR(M20/K20,"")</f>
        <v/>
      </c>
      <c r="O20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2026-08-17T03:05:24Z</dcterms:created>
  <dcterms:modified xmlns:dcterms="http://purl.org/dc/terms/" xmlns:xsi="http://www.w3.org/2001/XMLSchema-instance" xsi:type="dcterms:W3CDTF">2026-08-17T03:05:24Z</dcterms:modified>
</cp:coreProperties>
</file>