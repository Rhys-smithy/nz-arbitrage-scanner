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8">
    <font>
      <name val="Calibri"/>
      <family val="2"/>
      <color theme="1"/>
      <sz val="11"/>
      <scheme val="minor"/>
    </font>
    <font>
      <name val="Arial"/>
      <b val="1"/>
      <sz val="14"/>
    </font>
    <font>
      <name val="Arial"/>
      <b val="1"/>
    </font>
    <font>
      <name val="Arial"/>
    </font>
    <font>
      <name val="Arial"/>
      <color rgb="000000FF"/>
    </font>
    <font>
      <name val="Arial"/>
      <i val="1"/>
      <sz val="9"/>
    </font>
    <font>
      <name val="Arial"/>
      <b val="1"/>
      <color rgb="00FFFFFF"/>
      <sz val="11"/>
    </font>
    <font>
      <name val="Arial"/>
      <color rgb="000563C1"/>
      <u val="single"/>
    </font>
  </fonts>
  <fills count="4">
    <fill>
      <patternFill/>
    </fill>
    <fill>
      <patternFill patternType="gray125"/>
    </fill>
    <fill>
      <patternFill patternType="solid">
        <fgColor rgb="00FFFF00"/>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2" borderId="0" pivotButton="0" quotePrefix="0" xfId="0"/>
    <xf numFmtId="4" fontId="4" fillId="2" borderId="0" pivotButton="0" quotePrefix="0" xfId="0"/>
    <xf numFmtId="0" fontId="5" fillId="0" borderId="0" pivotButton="0" quotePrefix="0" xfId="0"/>
    <xf numFmtId="0" fontId="6" fillId="3" borderId="0" applyAlignment="1" pivotButton="0" quotePrefix="0" xfId="0">
      <alignment vertical="center" wrapText="1"/>
    </xf>
    <xf numFmtId="0" fontId="3" fillId="0" borderId="1" pivotButton="0" quotePrefix="0" xfId="0"/>
    <xf numFmtId="0" fontId="7" fillId="0" borderId="1" pivotButton="0" quotePrefix="0" xfId="0"/>
    <xf numFmtId="165" fontId="3"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rners.co.nz/General-Goods/Search/computer/printers/21216520" TargetMode="External" Id="rId1"/><Relationship Type="http://schemas.openxmlformats.org/officeDocument/2006/relationships/hyperlink" Target="https://www.turners.co.nz/General-Goods/Search/computer/printers/28141000" TargetMode="External" Id="rId2"/><Relationship Type="http://schemas.openxmlformats.org/officeDocument/2006/relationships/hyperlink" Target="https://www.turners.co.nz/General-Goods/Search/computer/printers/21216531" TargetMode="External" Id="rId3"/><Relationship Type="http://schemas.openxmlformats.org/officeDocument/2006/relationships/hyperlink" Target="https://www.turners.co.nz/General-Goods/Search/sport--leisure/camping-equipment/21216679" TargetMode="External" Id="rId4"/><Relationship Type="http://schemas.openxmlformats.org/officeDocument/2006/relationships/hyperlink" Target="https://www.turners.co.nz/General-Goods/Search/sport--leisure/other/21366253" TargetMode="External" Id="rId5"/><Relationship Type="http://schemas.openxmlformats.org/officeDocument/2006/relationships/hyperlink" Target="https://www.turners.co.nz/General-Goods/Search/jewellery/rings/21216565" TargetMode="External" Id="rId6"/><Relationship Type="http://schemas.openxmlformats.org/officeDocument/2006/relationships/hyperlink" Target="https://www.turners.co.nz/General-Goods/Search/jewellery/bracelets--charms/21366564" TargetMode="External" Id="rId7"/><Relationship Type="http://schemas.openxmlformats.org/officeDocument/2006/relationships/hyperlink" Target="https://www.turners.co.nz/General-Goods/Search/house--garden/bathroom/28447497" TargetMode="External" Id="rId8"/><Relationship Type="http://schemas.openxmlformats.org/officeDocument/2006/relationships/hyperlink" Target="https://www.turners.co.nz/General-Goods/Search/house--garden/bathroom/28448250" TargetMode="External" Id="rId9"/><Relationship Type="http://schemas.openxmlformats.org/officeDocument/2006/relationships/hyperlink" Target="https://www.turners.co.nz/General-Goods/Search/house--garden/bathroom/28448025" TargetMode="External" Id="rId10"/><Relationship Type="http://schemas.openxmlformats.org/officeDocument/2006/relationships/hyperlink" Target="https://www.turners.co.nz/General-Goods/Search/health--beauty/fragrances/25981050" TargetMode="External" Id="rId11"/><Relationship Type="http://schemas.openxmlformats.org/officeDocument/2006/relationships/hyperlink" Target="https://www.turners.co.nz/General-Goods/Search/health--beauty/fragrances/27093504" TargetMode="External" Id="rId12"/><Relationship Type="http://schemas.openxmlformats.org/officeDocument/2006/relationships/hyperlink" Target="https://www.turners.co.nz/General-Goods/Search/health--beauty/fragrances/27926687" TargetMode="External" Id="rId13"/><Relationship Type="http://schemas.openxmlformats.org/officeDocument/2006/relationships/hyperlink" Target="https://www.turners.co.nz/General-Goods/Search/automotive-goods/other/24903594" TargetMode="External" Id="rId14"/><Relationship Type="http://schemas.openxmlformats.org/officeDocument/2006/relationships/hyperlink" Target="https://www.turners.co.nz/General-Goods/Search/automotive-goods/other/24903587" TargetMode="External" Id="rId15"/><Relationship Type="http://schemas.openxmlformats.org/officeDocument/2006/relationships/hyperlink" Target="https://www.turners.co.nz/motorcycles-scooters/Used-Motorbikes-for-Sale/harley-davidson/softail/25024347" TargetMode="External" Id="rId16"/><Relationship Type="http://schemas.openxmlformats.org/officeDocument/2006/relationships/hyperlink" Target="https://www.turners.co.nz/buses-caravans/Used-Caravans-and-Motorhomes-for-Sale/mitsubishi-fuso/rosa/28410581" TargetMode="External" Id="rId17"/><Relationship Type="http://schemas.openxmlformats.org/officeDocument/2006/relationships/hyperlink" Target="https://www.turners.co.nz/buses-caravans/Used-Caravans-and-Motorhomes-for-Sale/mitsubishi-fuso/rosa/25313607" TargetMode="External" Id="rId18"/></Relationships>
</file>

<file path=xl/worksheets/sheet1.xml><?xml version="1.0" encoding="utf-8"?>
<worksheet xmlns="http://schemas.openxmlformats.org/spreadsheetml/2006/main">
  <sheetPr>
    <outlinePr summaryBelow="1" summaryRight="1"/>
    <pageSetUpPr/>
  </sheetPr>
  <dimension ref="A1:O27"/>
  <sheetViews>
    <sheetView showGridLines="0" workbookViewId="0">
      <pane ySplit="9" topLeftCell="A10" activePane="bottomLeft" state="frozen"/>
      <selection pane="bottomLeft" activeCell="A1" sqref="A1"/>
    </sheetView>
  </sheetViews>
  <sheetFormatPr baseColWidth="8" defaultRowHeight="15"/>
  <cols>
    <col width="18" customWidth="1" min="1" max="1"/>
    <col width="12" customWidth="1" min="2" max="2"/>
    <col width="40" customWidth="1" min="3" max="3"/>
    <col width="12" customWidth="1" min="4" max="4"/>
    <col width="13" customWidth="1" min="5" max="5"/>
    <col width="12" customWidth="1" min="6" max="6"/>
    <col width="9" customWidth="1" min="7" max="7"/>
    <col width="14" customWidth="1" min="8" max="8"/>
    <col width="13" customWidth="1" min="9" max="9"/>
    <col width="14" customWidth="1" min="10" max="10"/>
    <col width="13" customWidth="1" min="11" max="11"/>
    <col width="14" customWidth="1" min="12" max="12"/>
    <col width="12" customWidth="1" min="13" max="13"/>
    <col width="10" customWidth="1" min="14" max="14"/>
    <col width="45" customWidth="1" min="15" max="15"/>
  </cols>
  <sheetData>
    <row r="1">
      <c r="A1" s="1" t="inlineStr">
        <is>
          <t>NZ Auction Scanner — Opportunities &amp; Profit Estimates</t>
        </is>
      </c>
    </row>
    <row r="3">
      <c r="A3" s="2" t="inlineStr">
        <is>
          <t>Assumptions (edit these — every row recalculates automatically)</t>
        </is>
      </c>
    </row>
    <row r="4">
      <c r="A4" s="3" t="inlineStr">
        <is>
          <t>Buyer's premium (%)</t>
        </is>
      </c>
      <c r="B4" s="4" t="n">
        <v>0.15</v>
      </c>
    </row>
    <row r="5">
      <c r="A5" s="3" t="inlineStr">
        <is>
          <t>Marketplace/platform fee on resale (%)</t>
        </is>
      </c>
      <c r="B5" s="4" t="n">
        <v>0.1</v>
      </c>
    </row>
    <row r="6">
      <c r="A6" s="3" t="inlineStr">
        <is>
          <t>Listing/postage cost per item (NZD)</t>
        </is>
      </c>
      <c r="B6" s="5" t="n">
        <v>10</v>
      </c>
    </row>
    <row r="7">
      <c r="A7" s="6" t="inlineStr">
        <is>
          <t>Note: figures are Claude's estimates, not real quotes — verify before bidding.</t>
        </is>
      </c>
    </row>
    <row r="9">
      <c r="A9" s="7" t="inlineStr">
        <is>
          <t>Category</t>
        </is>
      </c>
      <c r="B9" s="7" t="inlineStr">
        <is>
          <t>Source</t>
        </is>
      </c>
      <c r="C9" s="7" t="inlineStr">
        <is>
          <t>Title</t>
        </is>
      </c>
      <c r="D9" s="7" t="inlineStr">
        <is>
          <t>Price (NZD)</t>
        </is>
      </c>
      <c r="E9" s="7" t="inlineStr">
        <is>
          <t>Buy Now (NZD)</t>
        </is>
      </c>
      <c r="F9" s="7" t="inlineStr">
        <is>
          <t>Condition</t>
        </is>
      </c>
      <c r="G9" s="7" t="inlineStr">
        <is>
          <t>Score /10</t>
        </is>
      </c>
      <c r="H9" s="7" t="inlineStr">
        <is>
          <t>Resale Likelihood</t>
        </is>
      </c>
      <c r="I9" s="7" t="inlineStr">
        <is>
          <t>Est. New Price</t>
        </is>
      </c>
      <c r="J9" s="7" t="inlineStr">
        <is>
          <t>Suggested Resale</t>
        </is>
      </c>
      <c r="K9" s="7" t="inlineStr">
        <is>
          <t>Landed Cost</t>
        </is>
      </c>
      <c r="L9" s="7" t="inlineStr">
        <is>
          <t>Net Resale Rev.</t>
        </is>
      </c>
      <c r="M9" s="7" t="inlineStr">
        <is>
          <t>Profit (NZD)</t>
        </is>
      </c>
      <c r="N9" s="7" t="inlineStr">
        <is>
          <t>Profit %</t>
        </is>
      </c>
      <c r="O9" s="7" t="inlineStr">
        <is>
          <t>Notes</t>
        </is>
      </c>
    </row>
    <row r="10">
      <c r="A10" s="8" t="inlineStr">
        <is>
          <t>Electronics &amp; Tech</t>
        </is>
      </c>
      <c r="B10" s="8" t="inlineStr">
        <is>
          <t>Turners</t>
        </is>
      </c>
      <c r="C10" s="9" t="inlineStr">
        <is>
          <t>Fujifilm Printer - Model Apeos C325 z and Some Toner Cartridges</t>
        </is>
      </c>
      <c r="D10" s="10" t="n">
        <v>1</v>
      </c>
      <c r="E10" s="10" t="n"/>
      <c r="F10" s="8" t="inlineStr">
        <is>
          <t>Very Tidy</t>
        </is>
      </c>
      <c r="G10" s="8" t="n">
        <v>10</v>
      </c>
      <c r="H10" s="8" t="inlineStr">
        <is>
          <t>medium</t>
        </is>
      </c>
      <c r="I10" s="10" t="n">
        <v>10000</v>
      </c>
      <c r="J10" s="10" t="n">
        <v>4000</v>
      </c>
      <c r="K10" s="10">
        <f>IF(D10&lt;&gt;"",D10*(1+$B$4),IF(E10&lt;&gt;"",E10,""))</f>
        <v/>
      </c>
      <c r="L10" s="10">
        <f>IF(J10&lt;&gt;"",J10*(1-$B$5)-$B$6,"")</f>
        <v/>
      </c>
      <c r="M10" s="10">
        <f>IF(AND(K10&lt;&gt;"",L10&lt;&gt;""),L10-K10,"")</f>
        <v/>
      </c>
      <c r="N10" s="11">
        <f>IFERROR(M10/K10,"")</f>
        <v/>
      </c>
      <c r="O10" s="8" t="inlineStr">
        <is>
          <t>Reserve: Reserve Met; Closes 20 Sep 26</t>
        </is>
      </c>
    </row>
    <row r="11">
      <c r="A11" s="8" t="inlineStr">
        <is>
          <t>Electronics &amp; Tech</t>
        </is>
      </c>
      <c r="B11" s="8" t="inlineStr">
        <is>
          <t>Turners</t>
        </is>
      </c>
      <c r="C11" s="9" t="inlineStr">
        <is>
          <t>Fujifilm C325Z Multifunction Desktop Printer and Some Toner Cartridges</t>
        </is>
      </c>
      <c r="D11" s="10" t="n">
        <v>1</v>
      </c>
      <c r="E11" s="10" t="n"/>
      <c r="F11" s="8" t="inlineStr">
        <is>
          <t>Very Tidy</t>
        </is>
      </c>
      <c r="G11" s="8" t="n">
        <v>9</v>
      </c>
      <c r="H11" s="8" t="inlineStr">
        <is>
          <t>medium</t>
        </is>
      </c>
      <c r="I11" s="10" t="n">
        <v>10000</v>
      </c>
      <c r="J11" s="10" t="n">
        <v>3500</v>
      </c>
      <c r="K11" s="10">
        <f>IF(D11&lt;&gt;"",D11*(1+$B$4),IF(E11&lt;&gt;"",E11,""))</f>
        <v/>
      </c>
      <c r="L11" s="10">
        <f>IF(J11&lt;&gt;"",J11*(1-$B$5)-$B$6,"")</f>
        <v/>
      </c>
      <c r="M11" s="10">
        <f>IF(AND(K11&lt;&gt;"",L11&lt;&gt;""),L11-K11,"")</f>
        <v/>
      </c>
      <c r="N11" s="11">
        <f>IFERROR(M11/K11,"")</f>
        <v/>
      </c>
      <c r="O11" s="8" t="inlineStr">
        <is>
          <t>Reserve: Reserve Met; Closes 20 Sep 26</t>
        </is>
      </c>
    </row>
    <row r="12">
      <c r="A12" s="8" t="inlineStr">
        <is>
          <t>Electronics &amp; Tech</t>
        </is>
      </c>
      <c r="B12" s="8" t="inlineStr">
        <is>
          <t>Turners</t>
        </is>
      </c>
      <c r="C12" s="9" t="inlineStr">
        <is>
          <t>Fujifilm Printer - Model Apeos C325 z and Some Toner Cartridges</t>
        </is>
      </c>
      <c r="D12" s="10" t="n">
        <v>1</v>
      </c>
      <c r="E12" s="10" t="n"/>
      <c r="F12" s="8" t="inlineStr">
        <is>
          <t>Very Tidy</t>
        </is>
      </c>
      <c r="G12" s="8" t="n">
        <v>9</v>
      </c>
      <c r="H12" s="8" t="inlineStr">
        <is>
          <t>medium</t>
        </is>
      </c>
      <c r="I12" s="10" t="n">
        <v>10000</v>
      </c>
      <c r="J12" s="10" t="n">
        <v>3500</v>
      </c>
      <c r="K12" s="10">
        <f>IF(D12&lt;&gt;"",D12*(1+$B$4),IF(E12&lt;&gt;"",E12,""))</f>
        <v/>
      </c>
      <c r="L12" s="10">
        <f>IF(J12&lt;&gt;"",J12*(1-$B$5)-$B$6,"")</f>
        <v/>
      </c>
      <c r="M12" s="10">
        <f>IF(AND(K12&lt;&gt;"",L12&lt;&gt;""),L12-K12,"")</f>
        <v/>
      </c>
      <c r="N12" s="11">
        <f>IFERROR(M12/K12,"")</f>
        <v/>
      </c>
      <c r="O12" s="8" t="inlineStr">
        <is>
          <t>Reserve: Reserve Met; Closes 20 Sep 26</t>
        </is>
      </c>
    </row>
    <row r="13">
      <c r="A13" s="8" t="inlineStr">
        <is>
          <t>Sport &amp; Leisure</t>
        </is>
      </c>
      <c r="B13" s="8" t="inlineStr">
        <is>
          <t>Turners</t>
        </is>
      </c>
      <c r="C13" s="9" t="inlineStr">
        <is>
          <t>Beastway air mattress</t>
        </is>
      </c>
      <c r="D13" s="10" t="n">
        <v>1</v>
      </c>
      <c r="E13" s="10" t="n"/>
      <c r="F13" s="8" t="inlineStr">
        <is>
          <t>Very Tidy</t>
        </is>
      </c>
      <c r="G13" s="8" t="n">
        <v>9</v>
      </c>
      <c r="H13" s="8" t="inlineStr">
        <is>
          <t>high</t>
        </is>
      </c>
      <c r="I13" s="10" t="n">
        <v>80</v>
      </c>
      <c r="J13" s="10" t="n">
        <v>35</v>
      </c>
      <c r="K13" s="10">
        <f>IF(D13&lt;&gt;"",D13*(1+$B$4),IF(E13&lt;&gt;"",E13,""))</f>
        <v/>
      </c>
      <c r="L13" s="10">
        <f>IF(J13&lt;&gt;"",J13*(1-$B$5)-$B$6,"")</f>
        <v/>
      </c>
      <c r="M13" s="10">
        <f>IF(AND(K13&lt;&gt;"",L13&lt;&gt;""),L13-K13,"")</f>
        <v/>
      </c>
      <c r="N13" s="11">
        <f>IFERROR(M13/K13,"")</f>
        <v/>
      </c>
      <c r="O13" s="8" t="inlineStr">
        <is>
          <t>No comparable item found this run -- standalone assessment only; Reserve: No Reserve; Closes 20 Sep 26</t>
        </is>
      </c>
    </row>
    <row r="14">
      <c r="A14" s="8" t="inlineStr">
        <is>
          <t>Sport &amp; Leisure</t>
        </is>
      </c>
      <c r="B14" s="8" t="inlineStr">
        <is>
          <t>Turners</t>
        </is>
      </c>
      <c r="C14" s="9" t="inlineStr">
        <is>
          <t>Horse Equipment or Similar Etc</t>
        </is>
      </c>
      <c r="D14" s="10" t="n">
        <v>1</v>
      </c>
      <c r="E14" s="10" t="n"/>
      <c r="F14" s="8" t="inlineStr">
        <is>
          <t>Tidy</t>
        </is>
      </c>
      <c r="G14" s="8" t="n">
        <v>9</v>
      </c>
      <c r="H14" s="8" t="inlineStr">
        <is>
          <t>medium</t>
        </is>
      </c>
      <c r="I14" s="10" t="n">
        <v>150</v>
      </c>
      <c r="J14" s="10" t="n">
        <v>80</v>
      </c>
      <c r="K14" s="10">
        <f>IF(D14&lt;&gt;"",D14*(1+$B$4),IF(E14&lt;&gt;"",E14,""))</f>
        <v/>
      </c>
      <c r="L14" s="10">
        <f>IF(J14&lt;&gt;"",J14*(1-$B$5)-$B$6,"")</f>
        <v/>
      </c>
      <c r="M14" s="10">
        <f>IF(AND(K14&lt;&gt;"",L14&lt;&gt;""),L14-K14,"")</f>
        <v/>
      </c>
      <c r="N14" s="11">
        <f>IFERROR(M14/K14,"")</f>
        <v/>
      </c>
      <c r="O14" s="8" t="inlineStr">
        <is>
          <t>No comparable item found this run -- standalone assessment only; Reserve: No Reserve; Closes 20 Sep 26</t>
        </is>
      </c>
    </row>
    <row r="15">
      <c r="A15" s="8" t="inlineStr">
        <is>
          <t>Jewellery &amp; Watches</t>
        </is>
      </c>
      <c r="B15" s="8" t="inlineStr">
        <is>
          <t>Turners</t>
        </is>
      </c>
      <c r="C15" s="9" t="inlineStr">
        <is>
          <t>Gold Coloured Ring with White Coloured Stones</t>
        </is>
      </c>
      <c r="D15" s="10" t="n">
        <v>1</v>
      </c>
      <c r="E15" s="10" t="n"/>
      <c r="F15" s="8" t="inlineStr">
        <is>
          <t>Very Tidy</t>
        </is>
      </c>
      <c r="G15" s="8" t="n">
        <v>9</v>
      </c>
      <c r="H15" s="8" t="inlineStr">
        <is>
          <t>high</t>
        </is>
      </c>
      <c r="I15" s="10" t="n">
        <v>250</v>
      </c>
      <c r="J15" s="10" t="n">
        <v>120</v>
      </c>
      <c r="K15" s="10">
        <f>IF(D15&lt;&gt;"",D15*(1+$B$4),IF(E15&lt;&gt;"",E15,""))</f>
        <v/>
      </c>
      <c r="L15" s="10">
        <f>IF(J15&lt;&gt;"",J15*(1-$B$5)-$B$6,"")</f>
        <v/>
      </c>
      <c r="M15" s="10">
        <f>IF(AND(K15&lt;&gt;"",L15&lt;&gt;""),L15-K15,"")</f>
        <v/>
      </c>
      <c r="N15" s="11">
        <f>IFERROR(M15/K15,"")</f>
        <v/>
      </c>
      <c r="O15" s="8" t="inlineStr">
        <is>
          <t>No comparable item found this run -- standalone assessment only; Reserve: Reserve Met; Closes 20 Sep 26</t>
        </is>
      </c>
    </row>
    <row r="16">
      <c r="A16" s="8" t="inlineStr">
        <is>
          <t>Jewellery &amp; Watches</t>
        </is>
      </c>
      <c r="B16" s="8" t="inlineStr">
        <is>
          <t>Turners</t>
        </is>
      </c>
      <c r="C16" s="9" t="inlineStr">
        <is>
          <t>Pandora Bracelet with Charms</t>
        </is>
      </c>
      <c r="D16" s="10" t="n">
        <v>19</v>
      </c>
      <c r="E16" s="10" t="n"/>
      <c r="F16" s="8" t="inlineStr">
        <is>
          <t>Very Tidy</t>
        </is>
      </c>
      <c r="G16" s="8" t="n">
        <v>9</v>
      </c>
      <c r="H16" s="8" t="inlineStr">
        <is>
          <t>high</t>
        </is>
      </c>
      <c r="I16" s="10" t="n">
        <v>120</v>
      </c>
      <c r="J16" s="10" t="n">
        <v>65</v>
      </c>
      <c r="K16" s="10">
        <f>IF(D16&lt;&gt;"",D16*(1+$B$4),IF(E16&lt;&gt;"",E16,""))</f>
        <v/>
      </c>
      <c r="L16" s="10">
        <f>IF(J16&lt;&gt;"",J16*(1-$B$5)-$B$6,"")</f>
        <v/>
      </c>
      <c r="M16" s="10">
        <f>IF(AND(K16&lt;&gt;"",L16&lt;&gt;""),L16-K16,"")</f>
        <v/>
      </c>
      <c r="N16" s="11">
        <f>IFERROR(M16/K16,"")</f>
        <v/>
      </c>
      <c r="O16" s="8" t="inlineStr">
        <is>
          <t>No comparable item found this run -- standalone assessment only; Reserve: Reserve Met; Closes 20 Sep 26</t>
        </is>
      </c>
    </row>
    <row r="17">
      <c r="A17" s="8" t="inlineStr">
        <is>
          <t>House &amp; Garden</t>
        </is>
      </c>
      <c r="B17" s="8" t="inlineStr">
        <is>
          <t>Turners</t>
        </is>
      </c>
      <c r="C17" s="9" t="inlineStr">
        <is>
          <t>Greens Tapware - Volt Overhead Wall Shower Brushed Nickel *NEW* RRP $297</t>
        </is>
      </c>
      <c r="D17" s="10" t="n">
        <v>1</v>
      </c>
      <c r="E17" s="10" t="n"/>
      <c r="F17" s="8" t="inlineStr">
        <is>
          <t>As New</t>
        </is>
      </c>
      <c r="G17" s="8" t="n">
        <v>10</v>
      </c>
      <c r="H17" s="8" t="inlineStr">
        <is>
          <t>high</t>
        </is>
      </c>
      <c r="I17" s="10" t="n">
        <v>297</v>
      </c>
      <c r="J17" s="10" t="n">
        <v>180</v>
      </c>
      <c r="K17" s="10">
        <f>IF(D17&lt;&gt;"",D17*(1+$B$4),IF(E17&lt;&gt;"",E17,""))</f>
        <v/>
      </c>
      <c r="L17" s="10">
        <f>IF(J17&lt;&gt;"",J17*(1-$B$5)-$B$6,"")</f>
        <v/>
      </c>
      <c r="M17" s="10">
        <f>IF(AND(K17&lt;&gt;"",L17&lt;&gt;""),L17-K17,"")</f>
        <v/>
      </c>
      <c r="N17" s="11">
        <f>IFERROR(M17/K17,"")</f>
        <v/>
      </c>
      <c r="O17" s="8" t="inlineStr">
        <is>
          <t>Reserve: No Reserve; Closes 20 Sep 26</t>
        </is>
      </c>
    </row>
    <row r="18">
      <c r="A18" s="8" t="inlineStr">
        <is>
          <t>House &amp; Garden</t>
        </is>
      </c>
      <c r="B18" s="8" t="inlineStr">
        <is>
          <t>Turners</t>
        </is>
      </c>
      <c r="C18" s="9" t="inlineStr">
        <is>
          <t>Greens Tapware - Volt Shower Diverter Mixer *NEW* RRP $319</t>
        </is>
      </c>
      <c r="D18" s="10" t="n">
        <v>1</v>
      </c>
      <c r="E18" s="10" t="n"/>
      <c r="F18" s="8" t="inlineStr">
        <is>
          <t>As New</t>
        </is>
      </c>
      <c r="G18" s="8" t="n">
        <v>10</v>
      </c>
      <c r="H18" s="8" t="inlineStr">
        <is>
          <t>high</t>
        </is>
      </c>
      <c r="I18" s="10" t="n">
        <v>319</v>
      </c>
      <c r="J18" s="10" t="n">
        <v>200</v>
      </c>
      <c r="K18" s="10">
        <f>IF(D18&lt;&gt;"",D18*(1+$B$4),IF(E18&lt;&gt;"",E18,""))</f>
        <v/>
      </c>
      <c r="L18" s="10">
        <f>IF(J18&lt;&gt;"",J18*(1-$B$5)-$B$6,"")</f>
        <v/>
      </c>
      <c r="M18" s="10">
        <f>IF(AND(K18&lt;&gt;"",L18&lt;&gt;""),L18-K18,"")</f>
        <v/>
      </c>
      <c r="N18" s="11">
        <f>IFERROR(M18/K18,"")</f>
        <v/>
      </c>
      <c r="O18" s="8" t="inlineStr">
        <is>
          <t>Reserve: No Reserve; Closes 20 Sep 26</t>
        </is>
      </c>
    </row>
    <row r="19">
      <c r="A19" s="8" t="inlineStr">
        <is>
          <t>House &amp; Garden</t>
        </is>
      </c>
      <c r="B19" s="8" t="inlineStr">
        <is>
          <t>Turners</t>
        </is>
      </c>
      <c r="C19" s="9" t="inlineStr">
        <is>
          <t>Nouveau - Finesse Slide Rail Shower - Chrome *NEW* RRP $109</t>
        </is>
      </c>
      <c r="D19" s="10" t="n">
        <v>1</v>
      </c>
      <c r="E19" s="10" t="n"/>
      <c r="F19" s="8" t="inlineStr">
        <is>
          <t>As New</t>
        </is>
      </c>
      <c r="G19" s="8" t="n">
        <v>10</v>
      </c>
      <c r="H19" s="8" t="inlineStr">
        <is>
          <t>high</t>
        </is>
      </c>
      <c r="I19" s="10" t="n">
        <v>109</v>
      </c>
      <c r="J19" s="10" t="n">
        <v>75</v>
      </c>
      <c r="K19" s="10">
        <f>IF(D19&lt;&gt;"",D19*(1+$B$4),IF(E19&lt;&gt;"",E19,""))</f>
        <v/>
      </c>
      <c r="L19" s="10">
        <f>IF(J19&lt;&gt;"",J19*(1-$B$5)-$B$6,"")</f>
        <v/>
      </c>
      <c r="M19" s="10">
        <f>IF(AND(K19&lt;&gt;"",L19&lt;&gt;""),L19-K19,"")</f>
        <v/>
      </c>
      <c r="N19" s="11">
        <f>IFERROR(M19/K19,"")</f>
        <v/>
      </c>
      <c r="O19" s="8" t="inlineStr">
        <is>
          <t>Reserve: No Reserve; Closes 20 Sep 26</t>
        </is>
      </c>
    </row>
    <row r="20">
      <c r="A20" s="8" t="inlineStr">
        <is>
          <t>Health &amp; Beauty</t>
        </is>
      </c>
      <c r="B20" s="8" t="inlineStr">
        <is>
          <t>Turners</t>
        </is>
      </c>
      <c r="C20" s="9" t="inlineStr">
        <is>
          <t>Bradfield Fragrance Sachets w/ Retail Countertop Display - Rose Garden</t>
        </is>
      </c>
      <c r="D20" s="10" t="n">
        <v>28</v>
      </c>
      <c r="E20" s="10" t="n"/>
      <c r="F20" s="8" t="inlineStr">
        <is>
          <t>New</t>
        </is>
      </c>
      <c r="G20" s="8" t="n">
        <v>6</v>
      </c>
      <c r="H20" s="8" t="inlineStr">
        <is>
          <t>low</t>
        </is>
      </c>
      <c r="I20" s="10" t="n">
        <v>60</v>
      </c>
      <c r="J20" s="10" t="n">
        <v>35</v>
      </c>
      <c r="K20" s="10">
        <f>IF(D20&lt;&gt;"",D20*(1+$B$4),IF(E20&lt;&gt;"",E20,""))</f>
        <v/>
      </c>
      <c r="L20" s="10">
        <f>IF(J20&lt;&gt;"",J20*(1-$B$5)-$B$6,"")</f>
        <v/>
      </c>
      <c r="M20" s="10">
        <f>IF(AND(K20&lt;&gt;"",L20&lt;&gt;""),L20-K20,"")</f>
        <v/>
      </c>
      <c r="N20" s="11">
        <f>IFERROR(M20/K20,"")</f>
        <v/>
      </c>
      <c r="O20" s="8" t="inlineStr">
        <is>
          <t>Reserve: No Reserve; Closes 20 Sep 26</t>
        </is>
      </c>
    </row>
    <row r="21">
      <c r="A21" s="8" t="inlineStr">
        <is>
          <t>Health &amp; Beauty</t>
        </is>
      </c>
      <c r="B21" s="8" t="inlineStr">
        <is>
          <t>Turners</t>
        </is>
      </c>
      <c r="C21" s="9" t="inlineStr">
        <is>
          <t>Bradfield - Infused Multi-Use Fragrance Sachets (10pce) - Gorgeous</t>
        </is>
      </c>
      <c r="D21" s="10" t="n">
        <v>20</v>
      </c>
      <c r="E21" s="10" t="n"/>
      <c r="F21" s="8" t="inlineStr">
        <is>
          <t>New</t>
        </is>
      </c>
      <c r="G21" s="8" t="n"/>
      <c r="H21" s="8" t="inlineStr"/>
      <c r="I21" s="10" t="n"/>
      <c r="J21" s="10" t="n"/>
      <c r="K21" s="10">
        <f>IF(D21&lt;&gt;"",D21*(1+$B$4),IF(E21&lt;&gt;"",E21,""))</f>
        <v/>
      </c>
      <c r="L21" s="10">
        <f>IF(J21&lt;&gt;"",J21*(1-$B$5)-$B$6,"")</f>
        <v/>
      </c>
      <c r="M21" s="10">
        <f>IF(AND(K21&lt;&gt;"",L21&lt;&gt;""),L21-K21,"")</f>
        <v/>
      </c>
      <c r="N21" s="11">
        <f>IFERROR(M21/K21,"")</f>
        <v/>
      </c>
      <c r="O21" s="8" t="inlineStr">
        <is>
          <t>Reserve: No Reserve; Closes 20 Sep 26</t>
        </is>
      </c>
    </row>
    <row r="22">
      <c r="A22" s="8" t="inlineStr">
        <is>
          <t>Health &amp; Beauty</t>
        </is>
      </c>
      <c r="B22" s="8" t="inlineStr">
        <is>
          <t>Turners</t>
        </is>
      </c>
      <c r="C22" s="9" t="inlineStr">
        <is>
          <t>Bradfield - Infused Multi-Use Fragrance Sachets (15pce) - Gorgeous</t>
        </is>
      </c>
      <c r="D22" s="10" t="n">
        <v>30</v>
      </c>
      <c r="E22" s="10" t="n"/>
      <c r="F22" s="8" t="inlineStr">
        <is>
          <t>New</t>
        </is>
      </c>
      <c r="G22" s="8" t="n"/>
      <c r="H22" s="8" t="inlineStr"/>
      <c r="I22" s="10" t="n"/>
      <c r="J22" s="10" t="n"/>
      <c r="K22" s="10">
        <f>IF(D22&lt;&gt;"",D22*(1+$B$4),IF(E22&lt;&gt;"",E22,""))</f>
        <v/>
      </c>
      <c r="L22" s="10">
        <f>IF(J22&lt;&gt;"",J22*(1-$B$5)-$B$6,"")</f>
        <v/>
      </c>
      <c r="M22" s="10">
        <f>IF(AND(K22&lt;&gt;"",L22&lt;&gt;""),L22-K22,"")</f>
        <v/>
      </c>
      <c r="N22" s="11">
        <f>IFERROR(M22/K22,"")</f>
        <v/>
      </c>
      <c r="O22" s="8" t="inlineStr">
        <is>
          <t>Reserve: No Reserve; Closes 20 Sep 26</t>
        </is>
      </c>
    </row>
    <row r="23">
      <c r="A23" s="8" t="inlineStr">
        <is>
          <t>Automotive Parts</t>
        </is>
      </c>
      <c r="B23" s="8" t="inlineStr">
        <is>
          <t>Turners</t>
        </is>
      </c>
      <c r="C23" s="9" t="inlineStr">
        <is>
          <t>Scania Cab Suspension Shock Absorber Rear</t>
        </is>
      </c>
      <c r="D23" s="10" t="n">
        <v>1</v>
      </c>
      <c r="E23" s="10" t="n"/>
      <c r="F23" s="8" t="inlineStr">
        <is>
          <t>Average</t>
        </is>
      </c>
      <c r="G23" s="8" t="n">
        <v>8</v>
      </c>
      <c r="H23" s="8" t="inlineStr">
        <is>
          <t>high</t>
        </is>
      </c>
      <c r="I23" s="10" t="n">
        <v>800</v>
      </c>
      <c r="J23" s="10" t="n">
        <v>250</v>
      </c>
      <c r="K23" s="10">
        <f>IF(D23&lt;&gt;"",D23*(1+$B$4),IF(E23&lt;&gt;"",E23,""))</f>
        <v/>
      </c>
      <c r="L23" s="10">
        <f>IF(J23&lt;&gt;"",J23*(1-$B$5)-$B$6,"")</f>
        <v/>
      </c>
      <c r="M23" s="10">
        <f>IF(AND(K23&lt;&gt;"",L23&lt;&gt;""),L23-K23,"")</f>
        <v/>
      </c>
      <c r="N23" s="11">
        <f>IFERROR(M23/K23,"")</f>
        <v/>
      </c>
      <c r="O23" s="8" t="inlineStr">
        <is>
          <t>Reserve: No Reserve; Closes 21 Sep 26</t>
        </is>
      </c>
    </row>
    <row r="24">
      <c r="A24" s="8" t="inlineStr">
        <is>
          <t>Automotive Parts</t>
        </is>
      </c>
      <c r="B24" s="8" t="inlineStr">
        <is>
          <t>Turners</t>
        </is>
      </c>
      <c r="C24" s="9" t="inlineStr">
        <is>
          <t>Scania Cab Air Suspension Bag</t>
        </is>
      </c>
      <c r="D24" s="10" t="n">
        <v>1</v>
      </c>
      <c r="E24" s="10" t="n"/>
      <c r="F24" s="8" t="inlineStr">
        <is>
          <t>Average</t>
        </is>
      </c>
      <c r="G24" s="8" t="n">
        <v>8</v>
      </c>
      <c r="H24" s="8" t="inlineStr">
        <is>
          <t>high</t>
        </is>
      </c>
      <c r="I24" s="10" t="n">
        <v>600</v>
      </c>
      <c r="J24" s="10" t="n">
        <v>180</v>
      </c>
      <c r="K24" s="10">
        <f>IF(D24&lt;&gt;"",D24*(1+$B$4),IF(E24&lt;&gt;"",E24,""))</f>
        <v/>
      </c>
      <c r="L24" s="10">
        <f>IF(J24&lt;&gt;"",J24*(1-$B$5)-$B$6,"")</f>
        <v/>
      </c>
      <c r="M24" s="10">
        <f>IF(AND(K24&lt;&gt;"",L24&lt;&gt;""),L24-K24,"")</f>
        <v/>
      </c>
      <c r="N24" s="11">
        <f>IFERROR(M24/K24,"")</f>
        <v/>
      </c>
      <c r="O24" s="8" t="inlineStr">
        <is>
          <t>Reserve: No Reserve; Closes 21 Sep 26</t>
        </is>
      </c>
    </row>
    <row r="25">
      <c r="A25" s="8" t="inlineStr">
        <is>
          <t>Motorbikes</t>
        </is>
      </c>
      <c r="B25" s="8" t="inlineStr">
        <is>
          <t>Turners</t>
        </is>
      </c>
      <c r="C25" s="9" t="inlineStr">
        <is>
          <t>2025 Harley Davidson Softail 24 LOW Rider ST</t>
        </is>
      </c>
      <c r="D25" s="10" t="n">
        <v>1275</v>
      </c>
      <c r="E25" s="10" t="n"/>
      <c r="F25" s="8" t="inlineStr"/>
      <c r="G25" s="8" t="n">
        <v>1</v>
      </c>
      <c r="H25" s="8" t="inlineStr">
        <is>
          <t>low</t>
        </is>
      </c>
      <c r="I25" s="10" t="n">
        <v>32000</v>
      </c>
      <c r="J25" s="10" t="n"/>
      <c r="K25" s="10">
        <f>IF(D25&lt;&gt;"",D25*(1+$B$4),IF(E25&lt;&gt;"",E25,""))</f>
        <v/>
      </c>
      <c r="L25" s="10">
        <f>IF(J25&lt;&gt;"",J25*(1-$B$5)-$B$6,"")</f>
        <v/>
      </c>
      <c r="M25" s="10">
        <f>IF(AND(K25&lt;&gt;"",L25&lt;&gt;""),L25-K25,"")</f>
        <v/>
      </c>
      <c r="N25" s="11">
        <f>IFERROR(M25/K25,"")</f>
        <v/>
      </c>
      <c r="O25" s="8" t="inlineStr">
        <is>
          <t>No comparable item found this run -- standalone assessment only</t>
        </is>
      </c>
    </row>
    <row r="26">
      <c r="A26" s="8" t="inlineStr">
        <is>
          <t>Trailers &amp; Caravans</t>
        </is>
      </c>
      <c r="B26" s="8" t="inlineStr">
        <is>
          <t>Turners</t>
        </is>
      </c>
      <c r="C26" s="9" t="inlineStr">
        <is>
          <t>2008 Mitsubishi Fuso Rosa LWB Custom Auto Bus</t>
        </is>
      </c>
      <c r="D26" s="10" t="n"/>
      <c r="E26" s="10" t="n"/>
      <c r="F26" s="8" t="inlineStr"/>
      <c r="G26" s="8" t="n">
        <v>5</v>
      </c>
      <c r="H26" s="8" t="inlineStr">
        <is>
          <t>medium</t>
        </is>
      </c>
      <c r="I26" s="10" t="n"/>
      <c r="J26" s="10" t="n">
        <v>45000</v>
      </c>
      <c r="K26" s="10">
        <f>IF(D26&lt;&gt;"",D26*(1+$B$4),IF(E26&lt;&gt;"",E26,""))</f>
        <v/>
      </c>
      <c r="L26" s="10">
        <f>IF(J26&lt;&gt;"",J26*(1-$B$5)-$B$6,"")</f>
        <v/>
      </c>
      <c r="M26" s="10">
        <f>IF(AND(K26&lt;&gt;"",L26&lt;&gt;""),L26-K26,"")</f>
        <v/>
      </c>
      <c r="N26" s="11">
        <f>IFERROR(M26/K26,"")</f>
        <v/>
      </c>
      <c r="O26" s="8" t="inlineStr"/>
    </row>
    <row r="27">
      <c r="A27" s="8" t="inlineStr">
        <is>
          <t>Trailers &amp; Caravans</t>
        </is>
      </c>
      <c r="B27" s="8" t="inlineStr">
        <is>
          <t>Turners</t>
        </is>
      </c>
      <c r="C27" s="9" t="inlineStr">
        <is>
          <t>2012 Mitsubishi Fuso Rosa LWB Custom Auto Bus</t>
        </is>
      </c>
      <c r="D27" s="10" t="n"/>
      <c r="E27" s="10" t="n"/>
      <c r="F27" s="8" t="inlineStr">
        <is>
          <t>Average Cab Condition Average Interior Condition Average Canopy Removable No JLoader Tracks No Tail Lift No Meatrails No Holding Tanks No Twistlock No Trailer Hydraulics No Mechanical Condition Average Fuel Diesel Engine Power 148 Engine Power Unit hp Transmission Automatic Chassis Number JLABE64DJ0RG10523 Tyre Size Axle 1 205/85R16LT Tyre Size Axle 2 205/85R16 Wheel Base 4550 mm Brake Type Back Drum Brake Type Front Disc Front Suspension Spring Rear Suspension Spring Front Axle Rating 2600 Rear</t>
        </is>
      </c>
      <c r="G27" s="8" t="n">
        <v>4</v>
      </c>
      <c r="H27" s="8" t="inlineStr">
        <is>
          <t>medium</t>
        </is>
      </c>
      <c r="I27" s="10" t="n"/>
      <c r="J27" s="10" t="n">
        <v>35000</v>
      </c>
      <c r="K27" s="10">
        <f>IF(D27&lt;&gt;"",D27*(1+$B$4),IF(E27&lt;&gt;"",E27,""))</f>
        <v/>
      </c>
      <c r="L27" s="10">
        <f>IF(J27&lt;&gt;"",J27*(1-$B$5)-$B$6,"")</f>
        <v/>
      </c>
      <c r="M27" s="10">
        <f>IF(AND(K27&lt;&gt;"",L27&lt;&gt;""),L27-K27,"")</f>
        <v/>
      </c>
      <c r="N27" s="11">
        <f>IFERROR(M27/K27,"")</f>
        <v/>
      </c>
      <c r="O27" s="8" t="inlineStr"/>
    </row>
  </sheetData>
  <mergeCells count="1">
    <mergeCell ref="A1:C1"/>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 xmlns:r="http://schemas.openxmlformats.org/officeDocument/2006/relationships" ref="C25" r:id="rId16"/>
    <hyperlink xmlns:r="http://schemas.openxmlformats.org/officeDocument/2006/relationships" ref="C26" r:id="rId17"/>
    <hyperlink xmlns:r="http://schemas.openxmlformats.org/officeDocument/2006/relationships" ref="C27"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2026-09-14T21:26:10Z</dcterms:created>
  <dcterms:modified xmlns:dcterms="http://purl.org/dc/terms/" xmlns:xsi="http://www.w3.org/2001/XMLSchema-instance" xsi:type="dcterms:W3CDTF">2026-09-14T21:26:10Z</dcterms:modified>
</cp:coreProperties>
</file>