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other/25314806" TargetMode="External" Id="rId1"/><Relationship Type="http://schemas.openxmlformats.org/officeDocument/2006/relationships/hyperlink" Target="https://www.turners.co.nz/General-Goods/Search/computer/other/25314777" TargetMode="External" Id="rId2"/><Relationship Type="http://schemas.openxmlformats.org/officeDocument/2006/relationships/hyperlink" Target="https://www.turners.co.nz/General-Goods/Search/sport--leisure/exercise-equipment/28185464" TargetMode="External" Id="rId3"/><Relationship Type="http://schemas.openxmlformats.org/officeDocument/2006/relationships/hyperlink" Target="https://www.turners.co.nz/General-Goods/Search/sport--leisure/camping-equipment/28102640" TargetMode="External" Id="rId4"/><Relationship Type="http://schemas.openxmlformats.org/officeDocument/2006/relationships/hyperlink" Target="https://www.turners.co.nz/General-Goods/Search/house--garden/assorted-household-items/21217230" TargetMode="External" Id="rId5"/><Relationship Type="http://schemas.openxmlformats.org/officeDocument/2006/relationships/hyperlink" Target="https://www.turners.co.nz/General-Goods/Search/house--garden/bathroom/27582466" TargetMode="External" Id="rId6"/><Relationship Type="http://schemas.openxmlformats.org/officeDocument/2006/relationships/hyperlink" Target="https://www.thorntons.net.nz/auctions/detail/bw133209" TargetMode="External" Id="rId7"/><Relationship Type="http://schemas.openxmlformats.org/officeDocument/2006/relationships/hyperlink" Target="https://www.turners.co.nz/Trucks-Machinery/Used-Trucks-and-Machinery-for-Sale/briford/trailer-7x4/28276943" TargetMode="External" Id="rId8"/><Relationship Type="http://schemas.openxmlformats.org/officeDocument/2006/relationships/hyperlink" Target="https://www.turners.co.nz/Trucks-Machinery/Used-Trucks-and-Machinery-for-Sale/briford/7x4/27550009" TargetMode="External" Id="rId9"/><Relationship Type="http://schemas.openxmlformats.org/officeDocument/2006/relationships/hyperlink" Target="https://www.turners.co.nz/motorcycles-scooters/Used-Motorbikes-for-Sale/yamaha/ag125/28358193" TargetMode="External" Id="rId10"/><Relationship Type="http://schemas.openxmlformats.org/officeDocument/2006/relationships/hyperlink" Target="https://www.turners.co.nz/motorcycles-scooters/Used-Motorbikes-for-Sale/yamaha/ag200/28358206" TargetMode="External" Id="rId11"/><Relationship Type="http://schemas.openxmlformats.org/officeDocument/2006/relationships/hyperlink" Target="https://www.turners.co.nz/buses-caravans/Used-Caravans-and-Motorhomes-for-Sale/ford/transit/25432439" TargetMode="External" Id="rId12"/><Relationship Type="http://schemas.openxmlformats.org/officeDocument/2006/relationships/hyperlink" Target="https://www.turners.co.nz/buses-caravans/Used-Caravans-and-Motorhomes-for-Sale/ford/transit/27549971" TargetMode="External" Id="rId13"/><Relationship Type="http://schemas.openxmlformats.org/officeDocument/2006/relationships/hyperlink" Target="https://www.turners.co.nz/buses-caravans/Used-Caravans-and-Motorhomes-for-Sale/ford/transit/25432441" TargetMode="External" Id="rId14"/><Relationship Type="http://schemas.openxmlformats.org/officeDocument/2006/relationships/hyperlink" Target="https://www.thorntons.net.nz/auctions/detail/bw133205" TargetMode="External" Id="rId15"/></Relationships>
</file>

<file path=xl/worksheets/sheet1.xml><?xml version="1.0" encoding="utf-8"?>
<worksheet xmlns="http://schemas.openxmlformats.org/spreadsheetml/2006/main">
  <sheetPr>
    <outlinePr summaryBelow="1" summaryRight="1"/>
    <pageSetUpPr/>
  </sheetPr>
  <dimension ref="A1:O24"/>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Philips Monitor</t>
        </is>
      </c>
      <c r="D10" s="10" t="n">
        <v>1</v>
      </c>
      <c r="E10" s="10" t="n"/>
      <c r="F10" s="8" t="inlineStr">
        <is>
          <t>Average</t>
        </is>
      </c>
      <c r="G10" s="8" t="n">
        <v>9</v>
      </c>
      <c r="H10" s="8" t="inlineStr">
        <is>
          <t>high</t>
        </is>
      </c>
      <c r="I10" s="10" t="n">
        <v>250</v>
      </c>
      <c r="J10" s="10" t="n">
        <v>90</v>
      </c>
      <c r="K10" s="10">
        <f>IF(D10&lt;&gt;"",D10*(1+$B$4),IF(E10&lt;&gt;"",E10,""))</f>
        <v/>
      </c>
      <c r="L10" s="10">
        <f>IF(J10&lt;&gt;"",J10*(1-$B$5)-$B$6,"")</f>
        <v/>
      </c>
      <c r="M10" s="10">
        <f>IF(AND(K10&lt;&gt;"",L10&lt;&gt;""),L10-K10,"")</f>
        <v/>
      </c>
      <c r="N10" s="11">
        <f>IFERROR(M10/K10,"")</f>
        <v/>
      </c>
      <c r="O10" s="8" t="inlineStr">
        <is>
          <t>No comparable item found this run -- standalone assessment only; Reserve: No Reserve; Closes 1 Sep 26</t>
        </is>
      </c>
    </row>
    <row r="11">
      <c r="A11" s="8" t="inlineStr">
        <is>
          <t>Electronics &amp; Tech</t>
        </is>
      </c>
      <c r="B11" s="8" t="inlineStr">
        <is>
          <t>Turners</t>
        </is>
      </c>
      <c r="C11" s="9" t="inlineStr">
        <is>
          <t>HP Elite Mini 600 G9 Desktop PC</t>
        </is>
      </c>
      <c r="D11" s="10" t="n">
        <v>33</v>
      </c>
      <c r="E11" s="10" t="n"/>
      <c r="F11" s="8" t="inlineStr">
        <is>
          <t>Average</t>
        </is>
      </c>
      <c r="G11" s="8" t="n">
        <v>8</v>
      </c>
      <c r="H11" s="8" t="inlineStr">
        <is>
          <t>medium</t>
        </is>
      </c>
      <c r="I11" s="10" t="n">
        <v>800</v>
      </c>
      <c r="J11" s="10" t="n">
        <v>120</v>
      </c>
      <c r="K11" s="10">
        <f>IF(D11&lt;&gt;"",D11*(1+$B$4),IF(E11&lt;&gt;"",E11,""))</f>
        <v/>
      </c>
      <c r="L11" s="10">
        <f>IF(J11&lt;&gt;"",J11*(1-$B$5)-$B$6,"")</f>
        <v/>
      </c>
      <c r="M11" s="10">
        <f>IF(AND(K11&lt;&gt;"",L11&lt;&gt;""),L11-K11,"")</f>
        <v/>
      </c>
      <c r="N11" s="11">
        <f>IFERROR(M11/K11,"")</f>
        <v/>
      </c>
      <c r="O11" s="8" t="inlineStr">
        <is>
          <t>Reserve: Reserve Met; Closes 1 Sep 26</t>
        </is>
      </c>
    </row>
    <row r="12">
      <c r="A12" s="8" t="inlineStr">
        <is>
          <t>Sport &amp; Leisure</t>
        </is>
      </c>
      <c r="B12" s="8" t="inlineStr">
        <is>
          <t>Turners</t>
        </is>
      </c>
      <c r="C12" s="9" t="inlineStr">
        <is>
          <t>Commercial Life Fitness - 95X Discover SE3 HD Elliptical Cross Trainer</t>
        </is>
      </c>
      <c r="D12" s="10" t="n">
        <v>102</v>
      </c>
      <c r="E12" s="10" t="n"/>
      <c r="F12" s="8" t="inlineStr">
        <is>
          <t>Very Tidy</t>
        </is>
      </c>
      <c r="G12" s="8" t="n">
        <v>9</v>
      </c>
      <c r="H12" s="8" t="inlineStr">
        <is>
          <t>high</t>
        </is>
      </c>
      <c r="I12" s="10" t="n">
        <v>4500</v>
      </c>
      <c r="J12" s="10" t="n">
        <v>1200</v>
      </c>
      <c r="K12" s="10">
        <f>IF(D12&lt;&gt;"",D12*(1+$B$4),IF(E12&lt;&gt;"",E12,""))</f>
        <v/>
      </c>
      <c r="L12" s="10">
        <f>IF(J12&lt;&gt;"",J12*(1-$B$5)-$B$6,"")</f>
        <v/>
      </c>
      <c r="M12" s="10">
        <f>IF(AND(K12&lt;&gt;"",L12&lt;&gt;""),L12-K12,"")</f>
        <v/>
      </c>
      <c r="N12" s="11">
        <f>IFERROR(M12/K12,"")</f>
        <v/>
      </c>
      <c r="O12" s="8" t="inlineStr">
        <is>
          <t>No comparable item found this run -- standalone assessment only; Reserve: Reserve Met; Closes unknown</t>
        </is>
      </c>
    </row>
    <row r="13">
      <c r="A13" s="8" t="inlineStr">
        <is>
          <t>Sport &amp; Leisure</t>
        </is>
      </c>
      <c r="B13" s="8" t="inlineStr">
        <is>
          <t>Turners</t>
        </is>
      </c>
      <c r="C13" s="9" t="inlineStr">
        <is>
          <t>YAKIMA - Vehicle Roof Top Tent and Racks</t>
        </is>
      </c>
      <c r="D13" s="10" t="n">
        <v>600</v>
      </c>
      <c r="E13" s="10" t="n"/>
      <c r="F13" s="8" t="inlineStr">
        <is>
          <t>Tidy</t>
        </is>
      </c>
      <c r="G13" s="8" t="n">
        <v>7</v>
      </c>
      <c r="H13" s="8" t="inlineStr">
        <is>
          <t>high</t>
        </is>
      </c>
      <c r="I13" s="10" t="n">
        <v>1500</v>
      </c>
      <c r="J13" s="10" t="n">
        <v>900</v>
      </c>
      <c r="K13" s="10">
        <f>IF(D13&lt;&gt;"",D13*(1+$B$4),IF(E13&lt;&gt;"",E13,""))</f>
        <v/>
      </c>
      <c r="L13" s="10">
        <f>IF(J13&lt;&gt;"",J13*(1-$B$5)-$B$6,"")</f>
        <v/>
      </c>
      <c r="M13" s="10">
        <f>IF(AND(K13&lt;&gt;"",L13&lt;&gt;""),L13-K13,"")</f>
        <v/>
      </c>
      <c r="N13" s="11">
        <f>IFERROR(M13/K13,"")</f>
        <v/>
      </c>
      <c r="O13" s="8" t="inlineStr">
        <is>
          <t>No comparable item found this run -- standalone assessment only</t>
        </is>
      </c>
    </row>
    <row r="14">
      <c r="A14" s="8" t="inlineStr">
        <is>
          <t>House &amp; Garden</t>
        </is>
      </c>
      <c r="B14" s="8" t="inlineStr">
        <is>
          <t>Turners</t>
        </is>
      </c>
      <c r="C14" s="9" t="inlineStr">
        <is>
          <t>Coleman 5Gallon Beverage Cooler</t>
        </is>
      </c>
      <c r="D14" s="10" t="n">
        <v>1</v>
      </c>
      <c r="E14" s="10" t="n"/>
      <c r="F14" s="8" t="inlineStr">
        <is>
          <t>Tidy</t>
        </is>
      </c>
      <c r="G14" s="8" t="n">
        <v>9</v>
      </c>
      <c r="H14" s="8" t="inlineStr">
        <is>
          <t>high</t>
        </is>
      </c>
      <c r="I14" s="10" t="n">
        <v>45</v>
      </c>
      <c r="J14" s="10" t="n">
        <v>20</v>
      </c>
      <c r="K14" s="10">
        <f>IF(D14&lt;&gt;"",D14*(1+$B$4),IF(E14&lt;&gt;"",E14,""))</f>
        <v/>
      </c>
      <c r="L14" s="10">
        <f>IF(J14&lt;&gt;"",J14*(1-$B$5)-$B$6,"")</f>
        <v/>
      </c>
      <c r="M14" s="10">
        <f>IF(AND(K14&lt;&gt;"",L14&lt;&gt;""),L14-K14,"")</f>
        <v/>
      </c>
      <c r="N14" s="11">
        <f>IFERROR(M14/K14,"")</f>
        <v/>
      </c>
      <c r="O14" s="8" t="inlineStr">
        <is>
          <t>No comparable item found this run -- standalone assessment only; Reserve: Reserve Met; Closes unknown</t>
        </is>
      </c>
    </row>
    <row r="15">
      <c r="A15" s="8" t="inlineStr">
        <is>
          <t>House &amp; Garden</t>
        </is>
      </c>
      <c r="B15" s="8" t="inlineStr">
        <is>
          <t>Turners</t>
        </is>
      </c>
      <c r="C15" s="9" t="inlineStr">
        <is>
          <t>Nouveau freestanding bath -left corner</t>
        </is>
      </c>
      <c r="D15" s="10" t="n">
        <v>5</v>
      </c>
      <c r="E15" s="10" t="n"/>
      <c r="F15" s="8" t="inlineStr">
        <is>
          <t>As New</t>
        </is>
      </c>
      <c r="G15" s="8" t="n">
        <v>9</v>
      </c>
      <c r="H15" s="8" t="inlineStr">
        <is>
          <t>high</t>
        </is>
      </c>
      <c r="I15" s="10" t="n">
        <v>1800</v>
      </c>
      <c r="J15" s="10" t="n">
        <v>1400</v>
      </c>
      <c r="K15" s="10">
        <f>IF(D15&lt;&gt;"",D15*(1+$B$4),IF(E15&lt;&gt;"",E15,""))</f>
        <v/>
      </c>
      <c r="L15" s="10">
        <f>IF(J15&lt;&gt;"",J15*(1-$B$5)-$B$6,"")</f>
        <v/>
      </c>
      <c r="M15" s="10">
        <f>IF(AND(K15&lt;&gt;"",L15&lt;&gt;""),L15-K15,"")</f>
        <v/>
      </c>
      <c r="N15" s="11">
        <f>IFERROR(M15/K15,"")</f>
        <v/>
      </c>
      <c r="O15" s="8" t="inlineStr">
        <is>
          <t>No comparable item found this run -- standalone assessment only; Reserve: Reserve Met; Closes unknown</t>
        </is>
      </c>
    </row>
    <row r="16">
      <c r="A16" s="8" t="inlineStr">
        <is>
          <t>House &amp; Garden</t>
        </is>
      </c>
      <c r="B16" s="8" t="inlineStr">
        <is>
          <t>Thorntons</t>
        </is>
      </c>
      <c r="C16" s="9" t="inlineStr">
        <is>
          <t>Hospitality &amp; Household Auction 24.09.26 TH133209</t>
        </is>
      </c>
      <c r="D16" s="10" t="n"/>
      <c r="E16" s="10" t="n"/>
      <c r="F16" s="8" t="inlineStr"/>
      <c r="G16" s="8" t="n">
        <v>5</v>
      </c>
      <c r="H16" s="8" t="inlineStr">
        <is>
          <t>medium</t>
        </is>
      </c>
      <c r="I16" s="10" t="n"/>
      <c r="J16" s="10" t="n"/>
      <c r="K16" s="10">
        <f>IF(D16&lt;&gt;"",D16*(1+$B$4),IF(E16&lt;&gt;"",E16,""))</f>
        <v/>
      </c>
      <c r="L16" s="10">
        <f>IF(J16&lt;&gt;"",J16*(1-$B$5)-$B$6,"")</f>
        <v/>
      </c>
      <c r="M16" s="10">
        <f>IF(AND(K16&lt;&gt;"",L16&lt;&gt;""),L16-K16,"")</f>
        <v/>
      </c>
      <c r="N16" s="11">
        <f>IFERROR(M16/K16,"")</f>
        <v/>
      </c>
      <c r="O16" s="8" t="inlineStr">
        <is>
          <t>Caution: minimal description; no lot details visible</t>
        </is>
      </c>
    </row>
    <row r="17">
      <c r="A17" s="8" t="inlineStr">
        <is>
          <t>Trucks &amp; Machinery</t>
        </is>
      </c>
      <c r="B17" s="8" t="inlineStr">
        <is>
          <t>Turners</t>
        </is>
      </c>
      <c r="C17" s="9" t="inlineStr">
        <is>
          <t>1999 Briford Trailer 7x4 Flat Deck - Single</t>
        </is>
      </c>
      <c r="D17" s="10" t="n">
        <v>506</v>
      </c>
      <c r="E17" s="10" t="n"/>
      <c r="F17" s="8" t="inlineStr"/>
      <c r="G17" s="8" t="n">
        <v>4</v>
      </c>
      <c r="H17" s="8" t="inlineStr">
        <is>
          <t>low</t>
        </is>
      </c>
      <c r="I17" s="10" t="n">
        <v>8500</v>
      </c>
      <c r="J17" s="10" t="n">
        <v>1500</v>
      </c>
      <c r="K17" s="10">
        <f>IF(D17&lt;&gt;"",D17*(1+$B$4),IF(E17&lt;&gt;"",E17,""))</f>
        <v/>
      </c>
      <c r="L17" s="10">
        <f>IF(J17&lt;&gt;"",J17*(1-$B$5)-$B$6,"")</f>
        <v/>
      </c>
      <c r="M17" s="10">
        <f>IF(AND(K17&lt;&gt;"",L17&lt;&gt;""),L17-K17,"")</f>
        <v/>
      </c>
      <c r="N17" s="11">
        <f>IFERROR(M17/K17,"")</f>
        <v/>
      </c>
      <c r="O17" s="8" t="inlineStr"/>
    </row>
    <row r="18">
      <c r="A18" s="8" t="inlineStr">
        <is>
          <t>Trucks &amp; Machinery</t>
        </is>
      </c>
      <c r="B18" s="8" t="inlineStr">
        <is>
          <t>Turners</t>
        </is>
      </c>
      <c r="C18" s="9" t="inlineStr">
        <is>
          <t>2004 Briford 7x4 Flat Deck - Single</t>
        </is>
      </c>
      <c r="D18" s="10" t="n">
        <v>505</v>
      </c>
      <c r="E18" s="10" t="n"/>
      <c r="F18" s="8" t="inlineStr">
        <is>
          <t>Poor Colour White</t>
        </is>
      </c>
      <c r="G18" s="8" t="n">
        <v>3</v>
      </c>
      <c r="H18" s="8" t="inlineStr">
        <is>
          <t>low</t>
        </is>
      </c>
      <c r="I18" s="10" t="n">
        <v>8000</v>
      </c>
      <c r="J18" s="10" t="n">
        <v>1200</v>
      </c>
      <c r="K18" s="10">
        <f>IF(D18&lt;&gt;"",D18*(1+$B$4),IF(E18&lt;&gt;"",E18,""))</f>
        <v/>
      </c>
      <c r="L18" s="10">
        <f>IF(J18&lt;&gt;"",J18*(1-$B$5)-$B$6,"")</f>
        <v/>
      </c>
      <c r="M18" s="10">
        <f>IF(AND(K18&lt;&gt;"",L18&lt;&gt;""),L18-K18,"")</f>
        <v/>
      </c>
      <c r="N18" s="11">
        <f>IFERROR(M18/K18,"")</f>
        <v/>
      </c>
      <c r="O18" s="8" t="inlineStr"/>
    </row>
    <row r="19">
      <c r="A19" s="8" t="inlineStr">
        <is>
          <t>Motorbikes</t>
        </is>
      </c>
      <c r="B19" s="8" t="inlineStr">
        <is>
          <t>Turners</t>
        </is>
      </c>
      <c r="C19" s="9" t="inlineStr">
        <is>
          <t>2020 Yamaha AG125</t>
        </is>
      </c>
      <c r="D19" s="10" t="n">
        <v>850</v>
      </c>
      <c r="E19" s="10" t="n"/>
      <c r="F19" s="8" t="inlineStr"/>
      <c r="G19" s="8" t="n">
        <v>7</v>
      </c>
      <c r="H19" s="8" t="inlineStr">
        <is>
          <t>high</t>
        </is>
      </c>
      <c r="I19" s="10" t="n">
        <v>1400</v>
      </c>
      <c r="J19" s="10" t="n">
        <v>950</v>
      </c>
      <c r="K19" s="10">
        <f>IF(D19&lt;&gt;"",D19*(1+$B$4),IF(E19&lt;&gt;"",E19,""))</f>
        <v/>
      </c>
      <c r="L19" s="10">
        <f>IF(J19&lt;&gt;"",J19*(1-$B$5)-$B$6,"")</f>
        <v/>
      </c>
      <c r="M19" s="10">
        <f>IF(AND(K19&lt;&gt;"",L19&lt;&gt;""),L19-K19,"")</f>
        <v/>
      </c>
      <c r="N19" s="11">
        <f>IFERROR(M19/K19,"")</f>
        <v/>
      </c>
      <c r="O19" s="8" t="inlineStr">
        <is>
          <t>No comparable item found this run -- standalone assessment only</t>
        </is>
      </c>
    </row>
    <row r="20">
      <c r="A20" s="8" t="inlineStr">
        <is>
          <t>Motorbikes</t>
        </is>
      </c>
      <c r="B20" s="8" t="inlineStr">
        <is>
          <t>Turners</t>
        </is>
      </c>
      <c r="C20" s="9" t="inlineStr">
        <is>
          <t>2017 Yamaha AG200</t>
        </is>
      </c>
      <c r="D20" s="10" t="n">
        <v>500</v>
      </c>
      <c r="E20" s="10" t="n"/>
      <c r="F20" s="8" t="inlineStr"/>
      <c r="G20" s="8" t="n">
        <v>4</v>
      </c>
      <c r="H20" s="8" t="inlineStr">
        <is>
          <t>medium</t>
        </is>
      </c>
      <c r="I20" s="10" t="n">
        <v>3200</v>
      </c>
      <c r="J20" s="10" t="n">
        <v>800</v>
      </c>
      <c r="K20" s="10">
        <f>IF(D20&lt;&gt;"",D20*(1+$B$4),IF(E20&lt;&gt;"",E20,""))</f>
        <v/>
      </c>
      <c r="L20" s="10">
        <f>IF(J20&lt;&gt;"",J20*(1-$B$5)-$B$6,"")</f>
        <v/>
      </c>
      <c r="M20" s="10">
        <f>IF(AND(K20&lt;&gt;"",L20&lt;&gt;""),L20-K20,"")</f>
        <v/>
      </c>
      <c r="N20" s="11">
        <f>IFERROR(M20/K20,"")</f>
        <v/>
      </c>
      <c r="O20" s="8" t="inlineStr"/>
    </row>
    <row r="21">
      <c r="A21" s="8" t="inlineStr">
        <is>
          <t>Trailers &amp; Caravans</t>
        </is>
      </c>
      <c r="B21" s="8" t="inlineStr">
        <is>
          <t>Turners</t>
        </is>
      </c>
      <c r="C21" s="9" t="inlineStr">
        <is>
          <t>2021 Ford Transit 370M BUS 2.0D Minibus</t>
        </is>
      </c>
      <c r="D21" s="10" t="n"/>
      <c r="E21" s="10" t="n"/>
      <c r="F21" s="8" t="inlineStr">
        <is>
          <t>Good Cab Condition Average Interior Condition Average Canopy Removable No JLoader Tracks No Tail Lift No Meatrails No Holding Tanks No Twistlock No Trailer Hydraulics No Mechanical Condition Average Fuel Diesel Engine Power 168 Engine Power Unit hp Transmission Automatic - Tiptronic Tyre Size Axle 1 235/65r16C Tyre Size Axle 2 235/65r16C Wheel Base 3300 mm Brake Type Back Disc Brake Type Front Disc Brake System Hydraulic Front Suspension Spring Rear Suspension Spring</t>
        </is>
      </c>
      <c r="G21" s="8" t="n">
        <v>7</v>
      </c>
      <c r="H21" s="8" t="inlineStr">
        <is>
          <t>high</t>
        </is>
      </c>
      <c r="I21" s="10" t="n">
        <v>68000</v>
      </c>
      <c r="J21" s="10" t="n">
        <v>48000</v>
      </c>
      <c r="K21" s="10">
        <f>IF(D21&lt;&gt;"",D21*(1+$B$4),IF(E21&lt;&gt;"",E21,""))</f>
        <v/>
      </c>
      <c r="L21" s="10">
        <f>IF(J21&lt;&gt;"",J21*(1-$B$5)-$B$6,"")</f>
        <v/>
      </c>
      <c r="M21" s="10">
        <f>IF(AND(K21&lt;&gt;"",L21&lt;&gt;""),L21-K21,"")</f>
        <v/>
      </c>
      <c r="N21" s="11">
        <f>IFERROR(M21/K21,"")</f>
        <v/>
      </c>
      <c r="O21" s="8" t="inlineStr"/>
    </row>
    <row r="22">
      <c r="A22" s="8" t="inlineStr">
        <is>
          <t>Trailers &amp; Caravans</t>
        </is>
      </c>
      <c r="B22" s="8" t="inlineStr">
        <is>
          <t>Turners</t>
        </is>
      </c>
      <c r="C22" s="9" t="inlineStr">
        <is>
          <t>2022 Ford Transit TOURNEO TREND 2.0D Minibus</t>
        </is>
      </c>
      <c r="D22" s="10" t="n"/>
      <c r="E22" s="10" t="n"/>
      <c r="F22" s="8" t="inlineStr">
        <is>
          <t>Average Cab Condition Average Interior Condition Average Canopy Removable No JLoader Tracks No Tail Lift No Meatrails No Holding Tanks No Twistlock No Trailer Hydraulics No Mechanical Condition Average Fuel Diesel Engine Make ford Engine Power 168 Engine Power Unit hp Transmission Automatic Tyre Size Axle 1 215/65R16C Tyre Size Axle 2 215/65R16C Wheel Base 3300 mm Brake Type Back Disc Brake Type Front Disc Brake System Hydraulic Front Suspension Air/Spring Rear Suspension Air/Spring</t>
        </is>
      </c>
      <c r="G22" s="8" t="n">
        <v>5</v>
      </c>
      <c r="H22" s="8" t="inlineStr">
        <is>
          <t>high</t>
        </is>
      </c>
      <c r="I22" s="10" t="n">
        <v>65000</v>
      </c>
      <c r="J22" s="10" t="n">
        <v>42000</v>
      </c>
      <c r="K22" s="10">
        <f>IF(D22&lt;&gt;"",D22*(1+$B$4),IF(E22&lt;&gt;"",E22,""))</f>
        <v/>
      </c>
      <c r="L22" s="10">
        <f>IF(J22&lt;&gt;"",J22*(1-$B$5)-$B$6,"")</f>
        <v/>
      </c>
      <c r="M22" s="10">
        <f>IF(AND(K22&lt;&gt;"",L22&lt;&gt;""),L22-K22,"")</f>
        <v/>
      </c>
      <c r="N22" s="11">
        <f>IFERROR(M22/K22,"")</f>
        <v/>
      </c>
      <c r="O22" s="8" t="inlineStr"/>
    </row>
    <row r="23">
      <c r="A23" s="8" t="inlineStr">
        <is>
          <t>Trailers &amp; Caravans</t>
        </is>
      </c>
      <c r="B23" s="8" t="inlineStr">
        <is>
          <t>Turners</t>
        </is>
      </c>
      <c r="C23" s="9" t="inlineStr">
        <is>
          <t>2017 Ford Transit TOURNEO TREND 2.0D Minibus</t>
        </is>
      </c>
      <c r="D23" s="10" t="n"/>
      <c r="E23" s="10" t="n"/>
      <c r="F23" s="8" t="inlineStr">
        <is>
          <t>Average Cab Condition Average Interior Condition Average Canopy Removable No JLoader Tracks No Tail Lift No Meatrails No Holding Tanks No Twistlock No Trailer Hydraulics No Mechanical Condition Average Fuel Diesel Engine Power 168 Engine Power Unit hp Transmission Automatic - Tiptronic Wheel Base 3300 mm Brake Type Back Disc Brake Type Front Disc Front Suspension Spring Rear Suspension Spring</t>
        </is>
      </c>
      <c r="G23" s="8" t="n">
        <v>4</v>
      </c>
      <c r="H23" s="8" t="inlineStr">
        <is>
          <t>medium</t>
        </is>
      </c>
      <c r="I23" s="10" t="n">
        <v>62000</v>
      </c>
      <c r="J23" s="10" t="n">
        <v>35000</v>
      </c>
      <c r="K23" s="10">
        <f>IF(D23&lt;&gt;"",D23*(1+$B$4),IF(E23&lt;&gt;"",E23,""))</f>
        <v/>
      </c>
      <c r="L23" s="10">
        <f>IF(J23&lt;&gt;"",J23*(1-$B$5)-$B$6,"")</f>
        <v/>
      </c>
      <c r="M23" s="10">
        <f>IF(AND(K23&lt;&gt;"",L23&lt;&gt;""),L23-K23,"")</f>
        <v/>
      </c>
      <c r="N23" s="11">
        <f>IFERROR(M23/K23,"")</f>
        <v/>
      </c>
      <c r="O23" s="8" t="inlineStr"/>
    </row>
    <row r="24">
      <c r="A24" s="8" t="inlineStr">
        <is>
          <t>Antiques &amp; Collectables</t>
        </is>
      </c>
      <c r="B24" s="8" t="inlineStr">
        <is>
          <t>Thorntons</t>
        </is>
      </c>
      <c r="C24" s="9" t="inlineStr">
        <is>
          <t>Fantastic Furnishings &amp; Collectables 08.09.26 TU133205</t>
        </is>
      </c>
      <c r="D24" s="10" t="n"/>
      <c r="E24" s="10" t="n"/>
      <c r="F24" s="8" t="inlineStr"/>
      <c r="G24" s="8" t="n">
        <v>5</v>
      </c>
      <c r="H24" s="8" t="inlineStr">
        <is>
          <t>medium</t>
        </is>
      </c>
      <c r="I24" s="10" t="n"/>
      <c r="J24" s="10" t="n"/>
      <c r="K24" s="10">
        <f>IF(D24&lt;&gt;"",D24*(1+$B$4),IF(E24&lt;&gt;"",E24,""))</f>
        <v/>
      </c>
      <c r="L24" s="10">
        <f>IF(J24&lt;&gt;"",J24*(1-$B$5)-$B$6,"")</f>
        <v/>
      </c>
      <c r="M24" s="10">
        <f>IF(AND(K24&lt;&gt;"",L24&lt;&gt;""),L24-K24,"")</f>
        <v/>
      </c>
      <c r="N24" s="11">
        <f>IFERROR(M24/K24,"")</f>
        <v/>
      </c>
      <c r="O24" s="8" t="inlineStr">
        <is>
          <t>Caution: no description available</t>
        </is>
      </c>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2026-08-26T19:48:05Z</dcterms:created>
  <dcterms:modified xmlns:dcterms="http://purl.org/dc/terms/" xmlns:xsi="http://www.w3.org/2001/XMLSchema-instance" xsi:type="dcterms:W3CDTF">2026-08-26T19:48:05Z</dcterms:modified>
</cp:coreProperties>
</file>