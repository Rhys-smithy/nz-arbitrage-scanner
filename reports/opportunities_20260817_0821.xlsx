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other/25309833" TargetMode="External" Id="rId1"/><Relationship Type="http://schemas.openxmlformats.org/officeDocument/2006/relationships/hyperlink" Target="https://www.turners.co.nz/General-Goods/Search/computer/other/24938036" TargetMode="External" Id="rId2"/><Relationship Type="http://schemas.openxmlformats.org/officeDocument/2006/relationships/hyperlink" Target="https://www.turners.co.nz/General-Goods/Search/machinery/tools/26133789" TargetMode="External" Id="rId3"/><Relationship Type="http://schemas.openxmlformats.org/officeDocument/2006/relationships/hyperlink" Target="https://www.turners.co.nz/General-Goods/Search/sport--leisure/other/25309384" TargetMode="External" Id="rId4"/><Relationship Type="http://schemas.openxmlformats.org/officeDocument/2006/relationships/hyperlink" Target="https://www.turners.co.nz/General-Goods/Search/sport--leisure/other/25308552" TargetMode="External" Id="rId5"/><Relationship Type="http://schemas.openxmlformats.org/officeDocument/2006/relationships/hyperlink" Target="https://www.turners.co.nz/General-Goods/Search/house--garden/security-locks--alarms/25309460" TargetMode="External" Id="rId6"/><Relationship Type="http://schemas.openxmlformats.org/officeDocument/2006/relationships/hyperlink" Target="https://www.turners.co.nz/General-Goods/Search/house--garden/security-locks--alarms/25309769" TargetMode="External" Id="rId7"/><Relationship Type="http://schemas.openxmlformats.org/officeDocument/2006/relationships/hyperlink" Target="https://www.turners.co.nz/General-Goods/Search/health--beauty/other/21367605" TargetMode="External" Id="rId8"/><Relationship Type="http://schemas.openxmlformats.org/officeDocument/2006/relationships/hyperlink" Target="https://www.turners.co.nz/General-Goods/Search/health--beauty/other/21217615" TargetMode="External" Id="rId9"/><Relationship Type="http://schemas.openxmlformats.org/officeDocument/2006/relationships/hyperlink" Target="https://www.turners.co.nz/General-Goods/Search/health--beauty/other/21367596" TargetMode="External" Id="rId10"/><Relationship Type="http://schemas.openxmlformats.org/officeDocument/2006/relationships/hyperlink" Target="https://www.turners.co.nz/General-Goods/Search/automotive-goods/other/25310066" TargetMode="External" Id="rId11"/><Relationship Type="http://schemas.openxmlformats.org/officeDocument/2006/relationships/hyperlink" Target="https://www.turners.co.nz/General-Goods/Search/automotive-goods/other/25310078" TargetMode="External" Id="rId12"/><Relationship Type="http://schemas.openxmlformats.org/officeDocument/2006/relationships/hyperlink" Target="https://www.turners.co.nz/Trucks-Machinery/Used-Trucks-and-Machinery-for-Sale/trailer/domestic-trailer/28249548" TargetMode="External" Id="rId13"/><Relationship Type="http://schemas.openxmlformats.org/officeDocument/2006/relationships/hyperlink" Target="https://www.turners.co.nz/Trucks-Machinery/Used-Trucks-and-Machinery-for-Sale/homebuilt/shuttle-gt-products/2804405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TP-Link Powerline Starter Kit, Nano Router &amp; Gigabit PoE</t>
        </is>
      </c>
      <c r="D10" s="10" t="n">
        <v>1</v>
      </c>
      <c r="E10" s="10" t="n"/>
      <c r="F10" s="8" t="inlineStr">
        <is>
          <t>As New</t>
        </is>
      </c>
      <c r="G10" s="8" t="n">
        <v>9</v>
      </c>
      <c r="H10" s="8" t="inlineStr">
        <is>
          <t>high</t>
        </is>
      </c>
      <c r="I10" s="10" t="n">
        <v>100</v>
      </c>
      <c r="J10" s="10" t="n">
        <v>65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23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Bulk lot of Printer parts</t>
        </is>
      </c>
      <c r="D11" s="10" t="n">
        <v>1</v>
      </c>
      <c r="E11" s="10" t="n"/>
      <c r="F11" s="8" t="inlineStr">
        <is>
          <t>Unknown</t>
        </is>
      </c>
      <c r="G11" s="8" t="n">
        <v>2</v>
      </c>
      <c r="H11" s="8" t="inlineStr">
        <is>
          <t>low</t>
        </is>
      </c>
      <c r="I11" s="10" t="n"/>
      <c r="J11" s="10" t="n">
        <v>15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unknown</t>
        </is>
      </c>
    </row>
    <row r="12">
      <c r="A12" s="8" t="inlineStr">
        <is>
          <t>Machinery &amp; Tools</t>
        </is>
      </c>
      <c r="B12" s="8" t="inlineStr">
        <is>
          <t>Turners</t>
        </is>
      </c>
      <c r="C12" s="9" t="inlineStr">
        <is>
          <t>Workshop machinery clearance</t>
        </is>
      </c>
      <c r="D12" s="10" t="n">
        <v>1500</v>
      </c>
      <c r="E12" s="10" t="n"/>
      <c r="F12" s="8" t="inlineStr">
        <is>
          <t>Average</t>
        </is>
      </c>
      <c r="G12" s="8" t="n">
        <v>3</v>
      </c>
      <c r="H12" s="8" t="inlineStr">
        <is>
          <t>low</t>
        </is>
      </c>
      <c r="I12" s="10" t="n">
        <v>8000</v>
      </c>
      <c r="J12" s="10" t="n">
        <v>1200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unknown; Closes 26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South Africa Flag 2x</t>
        </is>
      </c>
      <c r="D13" s="10" t="n">
        <v>2</v>
      </c>
      <c r="E13" s="10" t="n"/>
      <c r="F13" s="8" t="inlineStr">
        <is>
          <t>Average</t>
        </is>
      </c>
      <c r="G13" s="8" t="n">
        <v>2</v>
      </c>
      <c r="H13" s="8" t="inlineStr">
        <is>
          <t>low</t>
        </is>
      </c>
      <c r="I13" s="10" t="n">
        <v>25</v>
      </c>
      <c r="J13" s="10" t="n">
        <v>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23 Aug 26</t>
        </is>
      </c>
    </row>
    <row r="14">
      <c r="A14" s="8" t="inlineStr">
        <is>
          <t>Sport &amp; Leisure</t>
        </is>
      </c>
      <c r="B14" s="8" t="inlineStr">
        <is>
          <t>Turners</t>
        </is>
      </c>
      <c r="C14" s="9" t="inlineStr">
        <is>
          <t>PSL Folding Knife</t>
        </is>
      </c>
      <c r="D14" s="10" t="n">
        <v>2</v>
      </c>
      <c r="E14" s="10" t="n"/>
      <c r="F14" s="8" t="inlineStr">
        <is>
          <t>Average</t>
        </is>
      </c>
      <c r="G14" s="8" t="n">
        <v>2</v>
      </c>
      <c r="H14" s="8" t="inlineStr">
        <is>
          <t>low</t>
        </is>
      </c>
      <c r="I14" s="10" t="n">
        <v>25</v>
      </c>
      <c r="J14" s="10" t="n">
        <v>8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24 Aug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Hikvision Security Camera</t>
        </is>
      </c>
      <c r="D15" s="10" t="n">
        <v>2</v>
      </c>
      <c r="E15" s="10" t="n"/>
      <c r="F15" s="8" t="inlineStr">
        <is>
          <t>As New</t>
        </is>
      </c>
      <c r="G15" s="8" t="n">
        <v>9</v>
      </c>
      <c r="H15" s="8" t="inlineStr">
        <is>
          <t>high</t>
        </is>
      </c>
      <c r="I15" s="10" t="n">
        <v>120</v>
      </c>
      <c r="J15" s="10" t="n">
        <v>70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23 Aug 26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Tinned Security Cable 700+ Mtrs</t>
        </is>
      </c>
      <c r="D16" s="10" t="n">
        <v>2</v>
      </c>
      <c r="E16" s="10" t="n"/>
      <c r="F16" s="8" t="inlineStr">
        <is>
          <t>As New</t>
        </is>
      </c>
      <c r="G16" s="8" t="n">
        <v>9</v>
      </c>
      <c r="H16" s="8" t="inlineStr">
        <is>
          <t>medium</t>
        </is>
      </c>
      <c r="I16" s="10" t="n">
        <v>4500</v>
      </c>
      <c r="J16" s="10" t="n">
        <v>180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Reserve Met; Closes 23 Aug 26</t>
        </is>
      </c>
    </row>
    <row r="17">
      <c r="A17" s="8" t="inlineStr">
        <is>
          <t>Health &amp; Beauty</t>
        </is>
      </c>
      <c r="B17" s="8" t="inlineStr">
        <is>
          <t>Turners</t>
        </is>
      </c>
      <c r="C17" s="9" t="inlineStr">
        <is>
          <t>Anjieya Earloop Face Masks</t>
        </is>
      </c>
      <c r="D17" s="10" t="n">
        <v>1</v>
      </c>
      <c r="E17" s="10" t="n"/>
      <c r="F17" s="8" t="inlineStr">
        <is>
          <t>Excellent</t>
        </is>
      </c>
      <c r="G17" s="8" t="n">
        <v>1</v>
      </c>
      <c r="H17" s="8" t="inlineStr">
        <is>
          <t>low</t>
        </is>
      </c>
      <c r="I17" s="10" t="n">
        <v>240</v>
      </c>
      <c r="J17" s="10" t="n"/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No Reserve; Closes 23 Aug 26</t>
        </is>
      </c>
    </row>
    <row r="18">
      <c r="A18" s="8" t="inlineStr">
        <is>
          <t>Health &amp; Beauty</t>
        </is>
      </c>
      <c r="B18" s="8" t="inlineStr">
        <is>
          <t>Turners</t>
        </is>
      </c>
      <c r="C18" s="9" t="inlineStr">
        <is>
          <t>Anjieya Earloop Face Masks</t>
        </is>
      </c>
      <c r="D18" s="10" t="n">
        <v>1</v>
      </c>
      <c r="E18" s="10" t="n"/>
      <c r="F18" s="8" t="inlineStr">
        <is>
          <t>Excellent</t>
        </is>
      </c>
      <c r="G18" s="8" t="n">
        <v>1</v>
      </c>
      <c r="H18" s="8" t="inlineStr">
        <is>
          <t>low</t>
        </is>
      </c>
      <c r="I18" s="10" t="n">
        <v>240</v>
      </c>
      <c r="J18" s="10" t="n"/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Reserve: No Reserve; Closes 23 Aug 26</t>
        </is>
      </c>
    </row>
    <row r="19">
      <c r="A19" s="8" t="inlineStr">
        <is>
          <t>Health &amp; Beauty</t>
        </is>
      </c>
      <c r="B19" s="8" t="inlineStr">
        <is>
          <t>Turners</t>
        </is>
      </c>
      <c r="C19" s="9" t="inlineStr">
        <is>
          <t>Anjieya Earloop Face Masks</t>
        </is>
      </c>
      <c r="D19" s="10" t="n">
        <v>1</v>
      </c>
      <c r="E19" s="10" t="n"/>
      <c r="F19" s="8" t="inlineStr">
        <is>
          <t>Excellent</t>
        </is>
      </c>
      <c r="G19" s="8" t="n">
        <v>1</v>
      </c>
      <c r="H19" s="8" t="inlineStr">
        <is>
          <t>low</t>
        </is>
      </c>
      <c r="I19" s="10" t="n">
        <v>240</v>
      </c>
      <c r="J19" s="10" t="n"/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Reserve: No Reserve; Closes 23 Aug 26</t>
        </is>
      </c>
    </row>
    <row r="20">
      <c r="A20" s="8" t="inlineStr">
        <is>
          <t>Automotive Parts</t>
        </is>
      </c>
      <c r="B20" s="8" t="inlineStr">
        <is>
          <t>Turners</t>
        </is>
      </c>
      <c r="C20" s="9" t="inlineStr">
        <is>
          <t>Vision Keyless Entry System</t>
        </is>
      </c>
      <c r="D20" s="10" t="n">
        <v>2</v>
      </c>
      <c r="E20" s="10" t="n"/>
      <c r="F20" s="8" t="inlineStr">
        <is>
          <t>Very Tidy</t>
        </is>
      </c>
      <c r="G20" s="8" t="n">
        <v>9</v>
      </c>
      <c r="H20" s="8" t="inlineStr">
        <is>
          <t>high</t>
        </is>
      </c>
      <c r="I20" s="10" t="n">
        <v>120</v>
      </c>
      <c r="J20" s="10" t="n">
        <v>75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Reserve: Reserve Met; Closes 24 Aug 26</t>
        </is>
      </c>
    </row>
    <row r="21">
      <c r="A21" s="8" t="inlineStr">
        <is>
          <t>Automotive Parts</t>
        </is>
      </c>
      <c r="B21" s="8" t="inlineStr">
        <is>
          <t>Turners</t>
        </is>
      </c>
      <c r="C21" s="9" t="inlineStr">
        <is>
          <t>Vision Truck Alarm System</t>
        </is>
      </c>
      <c r="D21" s="10" t="n">
        <v>1</v>
      </c>
      <c r="E21" s="10" t="n"/>
      <c r="F21" s="8" t="inlineStr">
        <is>
          <t>Very Tidy</t>
        </is>
      </c>
      <c r="G21" s="8" t="n">
        <v>9</v>
      </c>
      <c r="H21" s="8" t="inlineStr">
        <is>
          <t>medium</t>
        </is>
      </c>
      <c r="I21" s="10" t="n">
        <v>120</v>
      </c>
      <c r="J21" s="10" t="n">
        <v>85</v>
      </c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>
        <is>
          <t>Reserve: No Reserve; Closes 24 Aug 26</t>
        </is>
      </c>
    </row>
    <row r="22">
      <c r="A22" s="8" t="inlineStr">
        <is>
          <t>Trucks &amp; Machinery</t>
        </is>
      </c>
      <c r="B22" s="8" t="inlineStr">
        <is>
          <t>Turners</t>
        </is>
      </c>
      <c r="C22" s="9" t="inlineStr">
        <is>
          <t>1996 Trailer Domestic Trailer Boat - Single</t>
        </is>
      </c>
      <c r="D22" s="10" t="n">
        <v>714</v>
      </c>
      <c r="E22" s="10" t="n"/>
      <c r="F22" s="8" t="inlineStr"/>
      <c r="G22" s="8" t="n">
        <v>3</v>
      </c>
      <c r="H22" s="8" t="inlineStr">
        <is>
          <t>medium</t>
        </is>
      </c>
      <c r="I22" s="10" t="n">
        <v>3500</v>
      </c>
      <c r="J22" s="10" t="n">
        <v>800</v>
      </c>
      <c r="K22" s="10">
        <f>IF(D22&lt;&gt;"",D22*(1+$B$4),IF(E22&lt;&gt;"",E22,""))</f>
        <v/>
      </c>
      <c r="L22" s="10">
        <f>IF(J22&lt;&gt;"",J22*(1-$B$5)-$B$6,"")</f>
        <v/>
      </c>
      <c r="M22" s="10">
        <f>IF(AND(K22&lt;&gt;"",L22&lt;&gt;""),L22-K22,"")</f>
        <v/>
      </c>
      <c r="N22" s="11">
        <f>IFERROR(M22/K22,"")</f>
        <v/>
      </c>
      <c r="O22" s="8" t="inlineStr">
        <is>
          <t>No comparable item found this run -- standalone assessment only</t>
        </is>
      </c>
    </row>
    <row r="23">
      <c r="A23" s="8" t="inlineStr">
        <is>
          <t>Trucks &amp; Machinery</t>
        </is>
      </c>
      <c r="B23" s="8" t="inlineStr">
        <is>
          <t>Turners</t>
        </is>
      </c>
      <c r="C23" s="9" t="inlineStr">
        <is>
          <t>1995 Homebuilt Shuttle GT Products Other Trailers</t>
        </is>
      </c>
      <c r="D23" s="10" t="n">
        <v>801</v>
      </c>
      <c r="E23" s="10" t="n"/>
      <c r="F23" s="8" t="inlineStr"/>
      <c r="G23" s="8" t="n">
        <v>3</v>
      </c>
      <c r="H23" s="8" t="inlineStr">
        <is>
          <t>low</t>
        </is>
      </c>
      <c r="I23" s="10" t="n"/>
      <c r="J23" s="10" t="n">
        <v>600</v>
      </c>
      <c r="K23" s="10">
        <f>IF(D23&lt;&gt;"",D23*(1+$B$4),IF(E23&lt;&gt;"",E23,""))</f>
        <v/>
      </c>
      <c r="L23" s="10">
        <f>IF(J23&lt;&gt;"",J23*(1-$B$5)-$B$6,"")</f>
        <v/>
      </c>
      <c r="M23" s="10">
        <f>IF(AND(K23&lt;&gt;"",L23&lt;&gt;""),L23-K23,"")</f>
        <v/>
      </c>
      <c r="N23" s="11">
        <f>IFERROR(M23/K23,"")</f>
        <v/>
      </c>
      <c r="O23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2026-08-17T08:21:36Z</dcterms:created>
  <dcterms:modified xmlns:dcterms="http://purl.org/dc/terms/" xmlns:xsi="http://www.w3.org/2001/XMLSchema-instance" xsi:type="dcterms:W3CDTF">2026-08-17T08:21:36Z</dcterms:modified>
</cp:coreProperties>
</file>