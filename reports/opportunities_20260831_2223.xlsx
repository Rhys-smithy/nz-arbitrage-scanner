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television/27513678" TargetMode="External" Id="rId1"/><Relationship Type="http://schemas.openxmlformats.org/officeDocument/2006/relationships/hyperlink" Target="https://www.turners.co.nz/General-Goods/Search/computer/printers/21367032" TargetMode="External" Id="rId2"/><Relationship Type="http://schemas.openxmlformats.org/officeDocument/2006/relationships/hyperlink" Target="https://www.turners.co.nz/General-Goods/Search/sport--leisure/cycling/21367107" TargetMode="External" Id="rId3"/><Relationship Type="http://schemas.openxmlformats.org/officeDocument/2006/relationships/hyperlink" Target="https://www.turners.co.nz/General-Goods/Search/sport--leisure/other/28430859" TargetMode="External" Id="rId4"/><Relationship Type="http://schemas.openxmlformats.org/officeDocument/2006/relationships/hyperlink" Target="https://www.turners.co.nz/General-Goods/Search/house--garden/kitchen-equipment/21367050" TargetMode="External" Id="rId5"/><Relationship Type="http://schemas.openxmlformats.org/officeDocument/2006/relationships/hyperlink" Target="https://www.turners.co.nz/General-Goods/Search/house--garden/assorted-household-items/21367130" TargetMode="External" Id="rId6"/><Relationship Type="http://schemas.openxmlformats.org/officeDocument/2006/relationships/hyperlink" Target="https://www.turners.co.nz/General-Goods/Search/health--beauty/other/21367169" TargetMode="External" Id="rId7"/><Relationship Type="http://schemas.openxmlformats.org/officeDocument/2006/relationships/hyperlink" Target="https://www.turners.co.nz/General-Goods/Search/health--beauty/other/21367499" TargetMode="External" Id="rId8"/><Relationship Type="http://schemas.openxmlformats.org/officeDocument/2006/relationships/hyperlink" Target="https://www.turners.co.nz/General-Goods/Search/health--beauty/other/21367225" TargetMode="External" Id="rId9"/><Relationship Type="http://schemas.openxmlformats.org/officeDocument/2006/relationships/hyperlink" Target="https://www.turners.co.nz/General-Goods/Search/crafts/sewing/21217141" TargetMode="External" Id="rId10"/><Relationship Type="http://schemas.openxmlformats.org/officeDocument/2006/relationships/hyperlink" Target="https://www.turners.co.nz/General-Goods/Search/automotive-goods/trailers/28426716" TargetMode="External" Id="rId11"/><Relationship Type="http://schemas.openxmlformats.org/officeDocument/2006/relationships/hyperlink" Target="https://www.turners.co.nz/Trucks-Machinery/Used-Trucks-and-Machinery-for-Sale/nissan/condor/25044665" TargetMode="External" Id="rId12"/><Relationship Type="http://schemas.openxmlformats.org/officeDocument/2006/relationships/hyperlink" Target="https://www.turners.co.nz/Trucks-Machinery/Used-Trucks-and-Machinery-for-Sale/trailer/homemade/2497611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Panasonic LED TV 50"</t>
        </is>
      </c>
      <c r="D10" s="10" t="n">
        <v>1</v>
      </c>
      <c r="E10" s="10" t="n"/>
      <c r="F10" s="8" t="inlineStr">
        <is>
          <t>Tidy</t>
        </is>
      </c>
      <c r="G10" s="8" t="n">
        <v>9</v>
      </c>
      <c r="H10" s="8" t="inlineStr">
        <is>
          <t>high</t>
        </is>
      </c>
      <c r="I10" s="10" t="n">
        <v>1200</v>
      </c>
      <c r="J10" s="10" t="n">
        <v>400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7 Sep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Fujifilm Apeos C325 z Printer and Some Toner Cartridges</t>
        </is>
      </c>
      <c r="D11" s="10" t="n">
        <v>1</v>
      </c>
      <c r="E11" s="10" t="n"/>
      <c r="F11" s="8" t="inlineStr">
        <is>
          <t>Very Tidy</t>
        </is>
      </c>
      <c r="G11" s="8" t="n">
        <v>9</v>
      </c>
      <c r="H11" s="8" t="inlineStr">
        <is>
          <t>medium</t>
        </is>
      </c>
      <c r="I11" s="10" t="n">
        <v>3500</v>
      </c>
      <c r="J11" s="10" t="n">
        <v>800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6 Sep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Mini LED Bike Lights and a Broom</t>
        </is>
      </c>
      <c r="D12" s="10" t="n">
        <v>1</v>
      </c>
      <c r="E12" s="10" t="n"/>
      <c r="F12" s="8" t="inlineStr">
        <is>
          <t>Very Tidy</t>
        </is>
      </c>
      <c r="G12" s="8" t="n">
        <v>8</v>
      </c>
      <c r="H12" s="8" t="inlineStr">
        <is>
          <t>medium</t>
        </is>
      </c>
      <c r="I12" s="10" t="n">
        <v>25</v>
      </c>
      <c r="J12" s="10" t="n">
        <v>8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6 Sep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Freed - Zero10 E Scooter - Top Speed Capability 40-48kmph</t>
        </is>
      </c>
      <c r="D13" s="10" t="n">
        <v>2</v>
      </c>
      <c r="E13" s="10" t="n"/>
      <c r="F13" s="8" t="inlineStr">
        <is>
          <t>Very Tidy</t>
        </is>
      </c>
      <c r="G13" s="8" t="n">
        <v>2</v>
      </c>
      <c r="H13" s="8" t="inlineStr">
        <is>
          <t>low</t>
        </is>
      </c>
      <c r="I13" s="10" t="n">
        <v>1200</v>
      </c>
      <c r="J13" s="10" t="n">
        <v>300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6 Sep 26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Panasonic Cyclonic Inverter The Genius 1100W Microwave</t>
        </is>
      </c>
      <c r="D14" s="10" t="n">
        <v>1</v>
      </c>
      <c r="E14" s="10" t="n"/>
      <c r="F14" s="8" t="inlineStr">
        <is>
          <t>Very Tidy</t>
        </is>
      </c>
      <c r="G14" s="8" t="n">
        <v>9</v>
      </c>
      <c r="H14" s="8" t="inlineStr">
        <is>
          <t>high</t>
        </is>
      </c>
      <c r="I14" s="10" t="n">
        <v>400</v>
      </c>
      <c r="J14" s="10" t="n">
        <v>100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6 Sep 26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Miscellaneous Items - Ear Bud Holders, String Lights Etc</t>
        </is>
      </c>
      <c r="D15" s="10" t="n">
        <v>10</v>
      </c>
      <c r="E15" s="10" t="n"/>
      <c r="F15" s="8" t="inlineStr">
        <is>
          <t>Very Tidy</t>
        </is>
      </c>
      <c r="G15" s="8" t="n">
        <v>3</v>
      </c>
      <c r="H15" s="8" t="inlineStr">
        <is>
          <t>low</t>
        </is>
      </c>
      <c r="I15" s="10" t="n"/>
      <c r="J15" s="10" t="n">
        <v>8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No Reserve; Closes 6 Sep 26</t>
        </is>
      </c>
    </row>
    <row r="16">
      <c r="A16" s="8" t="inlineStr">
        <is>
          <t>Health &amp; Beauty</t>
        </is>
      </c>
      <c r="B16" s="8" t="inlineStr">
        <is>
          <t>Turners</t>
        </is>
      </c>
      <c r="C16" s="9" t="inlineStr">
        <is>
          <t>Anjieya Earloop Face Masks</t>
        </is>
      </c>
      <c r="D16" s="10" t="n">
        <v>1</v>
      </c>
      <c r="E16" s="10" t="n"/>
      <c r="F16" s="8" t="inlineStr">
        <is>
          <t>Excellent</t>
        </is>
      </c>
      <c r="G16" s="8" t="n">
        <v>2</v>
      </c>
      <c r="H16" s="8" t="inlineStr">
        <is>
          <t>low</t>
        </is>
      </c>
      <c r="I16" s="10" t="n">
        <v>1200</v>
      </c>
      <c r="J16" s="10" t="n">
        <v>50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No Reserve; Closes 6 Sep 26</t>
        </is>
      </c>
    </row>
    <row r="17">
      <c r="A17" s="8" t="inlineStr">
        <is>
          <t>Health &amp; Beauty</t>
        </is>
      </c>
      <c r="B17" s="8" t="inlineStr">
        <is>
          <t>Turners</t>
        </is>
      </c>
      <c r="C17" s="9" t="inlineStr">
        <is>
          <t>Anjieya Earloop Face Masks</t>
        </is>
      </c>
      <c r="D17" s="10" t="n">
        <v>1</v>
      </c>
      <c r="E17" s="10" t="n"/>
      <c r="F17" s="8" t="inlineStr">
        <is>
          <t>Excellent</t>
        </is>
      </c>
      <c r="G17" s="8" t="n">
        <v>2</v>
      </c>
      <c r="H17" s="8" t="inlineStr">
        <is>
          <t>low</t>
        </is>
      </c>
      <c r="I17" s="10" t="n">
        <v>1200</v>
      </c>
      <c r="J17" s="10" t="n">
        <v>50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Reserve: No Reserve; Closes 6 Sep 26</t>
        </is>
      </c>
    </row>
    <row r="18">
      <c r="A18" s="8" t="inlineStr">
        <is>
          <t>Health &amp; Beauty</t>
        </is>
      </c>
      <c r="B18" s="8" t="inlineStr">
        <is>
          <t>Turners</t>
        </is>
      </c>
      <c r="C18" s="9" t="inlineStr">
        <is>
          <t>Anjieya Earloop Face Masks</t>
        </is>
      </c>
      <c r="D18" s="10" t="n">
        <v>1</v>
      </c>
      <c r="E18" s="10" t="n"/>
      <c r="F18" s="8" t="inlineStr">
        <is>
          <t>Excellent</t>
        </is>
      </c>
      <c r="G18" s="8" t="n">
        <v>2</v>
      </c>
      <c r="H18" s="8" t="inlineStr">
        <is>
          <t>low</t>
        </is>
      </c>
      <c r="I18" s="10" t="n">
        <v>1200</v>
      </c>
      <c r="J18" s="10" t="n">
        <v>50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Reserve: No Reserve; Closes 6 Sep 26</t>
        </is>
      </c>
    </row>
    <row r="19">
      <c r="A19" s="8" t="inlineStr">
        <is>
          <t>Antiques &amp; Collectables</t>
        </is>
      </c>
      <c r="B19" s="8" t="inlineStr">
        <is>
          <t>Turners</t>
        </is>
      </c>
      <c r="C19" s="9" t="inlineStr">
        <is>
          <t>Janome Sewing Machine - Model 555 - Plug has Been Cut Off</t>
        </is>
      </c>
      <c r="D19" s="10" t="n">
        <v>10</v>
      </c>
      <c r="E19" s="10" t="n"/>
      <c r="F19" s="8" t="inlineStr">
        <is>
          <t>Very Tidy</t>
        </is>
      </c>
      <c r="G19" s="8" t="n">
        <v>3</v>
      </c>
      <c r="H19" s="8" t="inlineStr">
        <is>
          <t>low</t>
        </is>
      </c>
      <c r="I19" s="10" t="n">
        <v>400</v>
      </c>
      <c r="J19" s="10" t="n">
        <v>80</v>
      </c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>
        <is>
          <t>No comparable item found this run -- standalone assessment only; Reserve: No Reserve; Closes 6 Sep 26</t>
        </is>
      </c>
    </row>
    <row r="20">
      <c r="A20" s="8" t="inlineStr">
        <is>
          <t>Automotive Parts</t>
        </is>
      </c>
      <c r="B20" s="8" t="inlineStr">
        <is>
          <t>Turners</t>
        </is>
      </c>
      <c r="C20" s="9" t="inlineStr">
        <is>
          <t>Comet powered Silvan Spray Unit</t>
        </is>
      </c>
      <c r="D20" s="10" t="n">
        <v>1200</v>
      </c>
      <c r="E20" s="10" t="n"/>
      <c r="F20" s="8" t="inlineStr">
        <is>
          <t>Average</t>
        </is>
      </c>
      <c r="G20" s="8" t="n">
        <v>3</v>
      </c>
      <c r="H20" s="8" t="inlineStr">
        <is>
          <t>medium</t>
        </is>
      </c>
      <c r="I20" s="10" t="n">
        <v>3500</v>
      </c>
      <c r="J20" s="10" t="n">
        <v>1800</v>
      </c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>
        <is>
          <t>No comparable item found this run -- standalone assessment only; Reserve: No Reserve; Closes 6 Sep 26</t>
        </is>
      </c>
    </row>
    <row r="21">
      <c r="A21" s="8" t="inlineStr">
        <is>
          <t>Trucks &amp; Machinery</t>
        </is>
      </c>
      <c r="B21" s="8" t="inlineStr">
        <is>
          <t>Turners</t>
        </is>
      </c>
      <c r="C21" s="9" t="inlineStr">
        <is>
          <t>1992 Nissan Condor 20 Flat Deck</t>
        </is>
      </c>
      <c r="D21" s="10" t="n">
        <v>1</v>
      </c>
      <c r="E21" s="10" t="n"/>
      <c r="F21" s="8" t="inlineStr">
        <is>
          <t>Average Colour White Cab Condition Average Interior Condition Poor</t>
        </is>
      </c>
      <c r="G21" s="8" t="n">
        <v>9</v>
      </c>
      <c r="H21" s="8" t="inlineStr">
        <is>
          <t>high</t>
        </is>
      </c>
      <c r="I21" s="10" t="n"/>
      <c r="J21" s="10" t="n">
        <v>10000</v>
      </c>
      <c r="K21" s="10">
        <f>IF(D21&lt;&gt;"",D21*(1+$B$4),IF(E21&lt;&gt;"",E21,""))</f>
        <v/>
      </c>
      <c r="L21" s="10">
        <f>IF(J21&lt;&gt;"",J21*(1-$B$5)-$B$6,"")</f>
        <v/>
      </c>
      <c r="M21" s="10">
        <f>IF(AND(K21&lt;&gt;"",L21&lt;&gt;""),L21-K21,"")</f>
        <v/>
      </c>
      <c r="N21" s="11">
        <f>IFERROR(M21/K21,"")</f>
        <v/>
      </c>
      <c r="O21" s="8" t="inlineStr">
        <is>
          <t>No comparable item found this run -- standalone assessment only</t>
        </is>
      </c>
    </row>
    <row r="22">
      <c r="A22" s="8" t="inlineStr">
        <is>
          <t>Trucks &amp; Machinery</t>
        </is>
      </c>
      <c r="B22" s="8" t="inlineStr">
        <is>
          <t>Turners</t>
        </is>
      </c>
      <c r="C22" s="9" t="inlineStr">
        <is>
          <t>1950 TRAILER HOMEMADE Cable Drum - Single</t>
        </is>
      </c>
      <c r="D22" s="10" t="n">
        <v>410</v>
      </c>
      <c r="E22" s="10" t="n"/>
      <c r="F22" s="8" t="inlineStr">
        <is>
          <t>Average Colour White</t>
        </is>
      </c>
      <c r="G22" s="8" t="n">
        <v>3</v>
      </c>
      <c r="H22" s="8" t="inlineStr">
        <is>
          <t>low</t>
        </is>
      </c>
      <c r="I22" s="10" t="n"/>
      <c r="J22" s="10" t="n">
        <v>200</v>
      </c>
      <c r="K22" s="10">
        <f>IF(D22&lt;&gt;"",D22*(1+$B$4),IF(E22&lt;&gt;"",E22,""))</f>
        <v/>
      </c>
      <c r="L22" s="10">
        <f>IF(J22&lt;&gt;"",J22*(1-$B$5)-$B$6,"")</f>
        <v/>
      </c>
      <c r="M22" s="10">
        <f>IF(AND(K22&lt;&gt;"",L22&lt;&gt;""),L22-K22,"")</f>
        <v/>
      </c>
      <c r="N22" s="11">
        <f>IFERROR(M22/K22,"")</f>
        <v/>
      </c>
      <c r="O22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2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2026-08-31T22:23:31Z</dcterms:created>
  <dcterms:modified xmlns:dcterms="http://purl.org/dc/terms/" xmlns:xsi="http://www.w3.org/2001/XMLSchema-instance" xsi:type="dcterms:W3CDTF">2026-08-31T22:23:31Z</dcterms:modified>
</cp:coreProperties>
</file>