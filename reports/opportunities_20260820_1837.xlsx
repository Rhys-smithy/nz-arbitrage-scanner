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computer/printers/25309091" TargetMode="External" Id="rId1"/><Relationship Type="http://schemas.openxmlformats.org/officeDocument/2006/relationships/hyperlink" Target="https://www.turners.co.nz/General-Goods/Search/computer/printers/25308864" TargetMode="External" Id="rId2"/><Relationship Type="http://schemas.openxmlformats.org/officeDocument/2006/relationships/hyperlink" Target="https://www.turners.co.nz/General-Goods/Search/sport--leisure/golf/21367740" TargetMode="External" Id="rId3"/><Relationship Type="http://schemas.openxmlformats.org/officeDocument/2006/relationships/hyperlink" Target="https://www.turners.co.nz/General-Goods/Search/sport--leisure/camping-equipment/24939620" TargetMode="External" Id="rId4"/><Relationship Type="http://schemas.openxmlformats.org/officeDocument/2006/relationships/hyperlink" Target="https://www.turners.co.nz/General-Goods/Search/house--garden/lounge-furniture/25372679" TargetMode="External" Id="rId5"/><Relationship Type="http://schemas.openxmlformats.org/officeDocument/2006/relationships/hyperlink" Target="https://www.turners.co.nz/General-Goods/Search/house--garden/security-locks--alarms/2530967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Electronics &amp; Tech</t>
        </is>
      </c>
      <c r="B10" s="8" t="inlineStr">
        <is>
          <t>Turners</t>
        </is>
      </c>
      <c r="C10" s="9" t="inlineStr">
        <is>
          <t>HP OfficeJet Pro 7740 Printer</t>
        </is>
      </c>
      <c r="D10" s="10" t="n">
        <v>2</v>
      </c>
      <c r="E10" s="10" t="n"/>
      <c r="F10" s="8" t="inlineStr">
        <is>
          <t>Average</t>
        </is>
      </c>
      <c r="G10" s="8" t="n">
        <v>9</v>
      </c>
      <c r="H10" s="8" t="inlineStr">
        <is>
          <t>high</t>
        </is>
      </c>
      <c r="I10" s="10" t="n">
        <v>800</v>
      </c>
      <c r="J10" s="10" t="n">
        <v>150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No comparable item found this run -- standalone assessment only; Reserve: Reserve Met; Closes unknown</t>
        </is>
      </c>
    </row>
    <row r="11">
      <c r="A11" s="8" t="inlineStr">
        <is>
          <t>Electronics &amp; Tech</t>
        </is>
      </c>
      <c r="B11" s="8" t="inlineStr">
        <is>
          <t>Turners</t>
        </is>
      </c>
      <c r="C11" s="9" t="inlineStr">
        <is>
          <t>OKI MC563 Printer</t>
        </is>
      </c>
      <c r="D11" s="10" t="n">
        <v>3</v>
      </c>
      <c r="E11" s="10" t="n"/>
      <c r="F11" s="8" t="inlineStr">
        <is>
          <t>Average</t>
        </is>
      </c>
      <c r="G11" s="8" t="n">
        <v>2</v>
      </c>
      <c r="H11" s="8" t="inlineStr">
        <is>
          <t>low</t>
        </is>
      </c>
      <c r="I11" s="10" t="n">
        <v>4500</v>
      </c>
      <c r="J11" s="10" t="n">
        <v>150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No comparable item found this run -- standalone assessment only; Reserve: Reserve Met; Closes unknown</t>
        </is>
      </c>
    </row>
    <row r="12">
      <c r="A12" s="8" t="inlineStr">
        <is>
          <t>Sport &amp; Leisure</t>
        </is>
      </c>
      <c r="B12" s="8" t="inlineStr">
        <is>
          <t>Turners</t>
        </is>
      </c>
      <c r="C12" s="9" t="inlineStr">
        <is>
          <t>Maxfli Golf Bag and Wilson Etc Golf Clubs</t>
        </is>
      </c>
      <c r="D12" s="10" t="n">
        <v>18</v>
      </c>
      <c r="E12" s="10" t="n"/>
      <c r="F12" s="8" t="inlineStr">
        <is>
          <t>Tidy</t>
        </is>
      </c>
      <c r="G12" s="8" t="n">
        <v>9</v>
      </c>
      <c r="H12" s="8" t="inlineStr">
        <is>
          <t>high</t>
        </is>
      </c>
      <c r="I12" s="10" t="n">
        <v>250</v>
      </c>
      <c r="J12" s="10" t="n">
        <v>60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>
        <is>
          <t>No comparable item found this run -- standalone assessment only; Reserve: Reserve Met; Closes unknown</t>
        </is>
      </c>
    </row>
    <row r="13">
      <c r="A13" s="8" t="inlineStr">
        <is>
          <t>Sport &amp; Leisure</t>
        </is>
      </c>
      <c r="B13" s="8" t="inlineStr">
        <is>
          <t>Turners</t>
        </is>
      </c>
      <c r="C13" s="9" t="inlineStr">
        <is>
          <t>The Survival Co kit</t>
        </is>
      </c>
      <c r="D13" s="10" t="n">
        <v>30</v>
      </c>
      <c r="E13" s="10" t="n"/>
      <c r="F13" s="8" t="inlineStr">
        <is>
          <t>Tidy</t>
        </is>
      </c>
      <c r="G13" s="8" t="n">
        <v>7</v>
      </c>
      <c r="H13" s="8" t="inlineStr">
        <is>
          <t>medium</t>
        </is>
      </c>
      <c r="I13" s="10" t="n">
        <v>100</v>
      </c>
      <c r="J13" s="10" t="n">
        <v>50</v>
      </c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>
        <is>
          <t>No comparable item found this run -- standalone assessment only; Reserve: Reserve Met; Closes 25 Aug 26</t>
        </is>
      </c>
    </row>
    <row r="14">
      <c r="A14" s="8" t="inlineStr">
        <is>
          <t>House &amp; Garden</t>
        </is>
      </c>
      <c r="B14" s="8" t="inlineStr">
        <is>
          <t>Turners</t>
        </is>
      </c>
      <c r="C14" s="9" t="inlineStr">
        <is>
          <t>Vanity Cabinet</t>
        </is>
      </c>
      <c r="D14" s="10" t="n">
        <v>3</v>
      </c>
      <c r="E14" s="10" t="n"/>
      <c r="F14" s="8" t="inlineStr">
        <is>
          <t>Average</t>
        </is>
      </c>
      <c r="G14" s="8" t="n">
        <v>9</v>
      </c>
      <c r="H14" s="8" t="inlineStr">
        <is>
          <t>high</t>
        </is>
      </c>
      <c r="I14" s="10" t="n">
        <v>250</v>
      </c>
      <c r="J14" s="10" t="n">
        <v>120</v>
      </c>
      <c r="K14" s="10">
        <f>IF(D14&lt;&gt;"",D14*(1+$B$4),IF(E14&lt;&gt;"",E14,""))</f>
        <v/>
      </c>
      <c r="L14" s="10">
        <f>IF(J14&lt;&gt;"",J14*(1-$B$5)-$B$6,"")</f>
        <v/>
      </c>
      <c r="M14" s="10">
        <f>IF(AND(K14&lt;&gt;"",L14&lt;&gt;""),L14-K14,"")</f>
        <v/>
      </c>
      <c r="N14" s="11">
        <f>IFERROR(M14/K14,"")</f>
        <v/>
      </c>
      <c r="O14" s="8" t="inlineStr">
        <is>
          <t>No comparable item found this run -- standalone assessment only; Reserve: Reserve Met; Closes unknown</t>
        </is>
      </c>
    </row>
    <row r="15">
      <c r="A15" s="8" t="inlineStr">
        <is>
          <t>House &amp; Garden</t>
        </is>
      </c>
      <c r="B15" s="8" t="inlineStr">
        <is>
          <t>Turners</t>
        </is>
      </c>
      <c r="C15" s="9" t="inlineStr">
        <is>
          <t>Bulk Assortment of Electrical Components</t>
        </is>
      </c>
      <c r="D15" s="10" t="n">
        <v>2</v>
      </c>
      <c r="E15" s="10" t="n"/>
      <c r="F15" s="8" t="inlineStr">
        <is>
          <t>As New</t>
        </is>
      </c>
      <c r="G15" s="8" t="n">
        <v>7</v>
      </c>
      <c r="H15" s="8" t="inlineStr">
        <is>
          <t>medium</t>
        </is>
      </c>
      <c r="I15" s="10" t="n"/>
      <c r="J15" s="10" t="n">
        <v>25</v>
      </c>
      <c r="K15" s="10">
        <f>IF(D15&lt;&gt;"",D15*(1+$B$4),IF(E15&lt;&gt;"",E15,""))</f>
        <v/>
      </c>
      <c r="L15" s="10">
        <f>IF(J15&lt;&gt;"",J15*(1-$B$5)-$B$6,"")</f>
        <v/>
      </c>
      <c r="M15" s="10">
        <f>IF(AND(K15&lt;&gt;"",L15&lt;&gt;""),L15-K15,"")</f>
        <v/>
      </c>
      <c r="N15" s="11">
        <f>IFERROR(M15/K15,"")</f>
        <v/>
      </c>
      <c r="O15" s="8" t="inlineStr">
        <is>
          <t>No comparable item found this run -- standalone assessment only; Reserve: Reserve Met; Closes unknown</t>
        </is>
      </c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2026-08-20T18:37:36Z</dcterms:created>
  <dcterms:modified xmlns:dcterms="http://purl.org/dc/terms/" xmlns:xsi="http://www.w3.org/2001/XMLSchema-instance" xsi:type="dcterms:W3CDTF">2026-08-20T18:37:36Z</dcterms:modified>
</cp:coreProperties>
</file>